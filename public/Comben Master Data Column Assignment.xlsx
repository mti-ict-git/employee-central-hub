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Projects\mti-employee\backend\scripts\"/>
    </mc:Choice>
  </mc:AlternateContent>
  <xr:revisionPtr revIDLastSave="0" documentId="13_ncr:1_{E03FAA08-74EE-45ED-A5B4-8B83DF4AF236}" xr6:coauthVersionLast="47" xr6:coauthVersionMax="47" xr10:uidLastSave="{00000000-0000-0000-0000-000000000000}"/>
  <bookViews>
    <workbookView xWindow="-108" yWindow="-108" windowWidth="23256" windowHeight="13896" activeTab="1" xr2:uid="{26DFB078-8C99-433D-B382-84578E9DF5B7}"/>
  </bookViews>
  <sheets>
    <sheet name="Column Name" sheetId="1" r:id="rId1"/>
    <sheet name="DB Schema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'Column Name'!$A$1:$I$98</definedName>
    <definedName name="_xlnm._FilterDatabase" localSheetId="1" hidden="1">'DB Schema'!$A$1:$V$98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7" i="2" l="1"/>
  <c r="T97" i="2"/>
  <c r="S97" i="2"/>
  <c r="K97" i="2"/>
  <c r="M97" i="2" s="1"/>
  <c r="U96" i="2"/>
  <c r="T96" i="2"/>
  <c r="S96" i="2"/>
  <c r="K96" i="2"/>
  <c r="M96" i="2" s="1"/>
  <c r="U95" i="2"/>
  <c r="T95" i="2"/>
  <c r="S95" i="2"/>
  <c r="K95" i="2"/>
  <c r="M95" i="2" s="1"/>
  <c r="U94" i="2"/>
  <c r="T94" i="2"/>
  <c r="S94" i="2"/>
  <c r="K94" i="2"/>
  <c r="M94" i="2" s="1"/>
  <c r="U93" i="2"/>
  <c r="T93" i="2"/>
  <c r="S93" i="2"/>
  <c r="K93" i="2"/>
  <c r="M93" i="2" s="1"/>
  <c r="U92" i="2"/>
  <c r="T92" i="2"/>
  <c r="S92" i="2"/>
  <c r="K92" i="2"/>
  <c r="M92" i="2" s="1"/>
  <c r="U91" i="2"/>
  <c r="T91" i="2"/>
  <c r="S91" i="2"/>
  <c r="K91" i="2"/>
  <c r="M91" i="2" s="1"/>
  <c r="U90" i="2"/>
  <c r="T90" i="2"/>
  <c r="S90" i="2"/>
  <c r="K90" i="2"/>
  <c r="M90" i="2" s="1"/>
  <c r="U89" i="2"/>
  <c r="T89" i="2"/>
  <c r="S89" i="2"/>
  <c r="K89" i="2"/>
  <c r="M89" i="2" s="1"/>
  <c r="U88" i="2"/>
  <c r="T88" i="2"/>
  <c r="S88" i="2"/>
  <c r="K88" i="2"/>
  <c r="M88" i="2" s="1"/>
  <c r="U87" i="2"/>
  <c r="T87" i="2"/>
  <c r="S87" i="2"/>
  <c r="K87" i="2"/>
  <c r="M87" i="2" s="1"/>
  <c r="U86" i="2"/>
  <c r="T86" i="2"/>
  <c r="S86" i="2"/>
  <c r="K86" i="2"/>
  <c r="M86" i="2" s="1"/>
  <c r="U85" i="2"/>
  <c r="T85" i="2"/>
  <c r="S85" i="2"/>
  <c r="K85" i="2"/>
  <c r="M85" i="2" s="1"/>
  <c r="U84" i="2"/>
  <c r="T84" i="2"/>
  <c r="S84" i="2"/>
  <c r="K84" i="2"/>
  <c r="M84" i="2" s="1"/>
  <c r="U83" i="2"/>
  <c r="T83" i="2"/>
  <c r="S83" i="2"/>
  <c r="K83" i="2"/>
  <c r="M83" i="2" s="1"/>
  <c r="U82" i="2"/>
  <c r="T82" i="2"/>
  <c r="S82" i="2"/>
  <c r="K82" i="2"/>
  <c r="M82" i="2" s="1"/>
  <c r="U81" i="2"/>
  <c r="T81" i="2"/>
  <c r="S81" i="2"/>
  <c r="K81" i="2"/>
  <c r="M81" i="2" s="1"/>
  <c r="U80" i="2"/>
  <c r="T80" i="2"/>
  <c r="S80" i="2"/>
  <c r="K80" i="2"/>
  <c r="M80" i="2" s="1"/>
  <c r="U79" i="2"/>
  <c r="T79" i="2"/>
  <c r="S79" i="2"/>
  <c r="M79" i="2"/>
  <c r="N79" i="2" s="1"/>
  <c r="L79" i="2"/>
  <c r="U78" i="2"/>
  <c r="T78" i="2"/>
  <c r="S78" i="2"/>
  <c r="K78" i="2"/>
  <c r="M78" i="2" s="1"/>
  <c r="U77" i="2"/>
  <c r="T77" i="2"/>
  <c r="S77" i="2"/>
  <c r="K77" i="2"/>
  <c r="M77" i="2" s="1"/>
  <c r="U76" i="2"/>
  <c r="T76" i="2"/>
  <c r="S76" i="2"/>
  <c r="K76" i="2"/>
  <c r="M76" i="2" s="1"/>
  <c r="U75" i="2"/>
  <c r="T75" i="2"/>
  <c r="S75" i="2"/>
  <c r="K75" i="2"/>
  <c r="M75" i="2" s="1"/>
  <c r="U74" i="2"/>
  <c r="T74" i="2"/>
  <c r="S74" i="2"/>
  <c r="K74" i="2"/>
  <c r="M74" i="2" s="1"/>
  <c r="U73" i="2"/>
  <c r="T73" i="2"/>
  <c r="S73" i="2"/>
  <c r="K73" i="2"/>
  <c r="M73" i="2" s="1"/>
  <c r="U72" i="2"/>
  <c r="T72" i="2"/>
  <c r="S72" i="2"/>
  <c r="K72" i="2"/>
  <c r="M72" i="2" s="1"/>
  <c r="U71" i="2"/>
  <c r="T71" i="2"/>
  <c r="S71" i="2"/>
  <c r="K71" i="2"/>
  <c r="M71" i="2" s="1"/>
  <c r="U70" i="2"/>
  <c r="T70" i="2"/>
  <c r="S70" i="2"/>
  <c r="K70" i="2"/>
  <c r="M70" i="2" s="1"/>
  <c r="N70" i="2" s="1"/>
  <c r="U69" i="2"/>
  <c r="T69" i="2"/>
  <c r="S69" i="2"/>
  <c r="M69" i="2"/>
  <c r="U68" i="2"/>
  <c r="T68" i="2"/>
  <c r="S68" i="2"/>
  <c r="K68" i="2"/>
  <c r="M68" i="2" s="1"/>
  <c r="N68" i="2" s="1"/>
  <c r="U67" i="2"/>
  <c r="T67" i="2"/>
  <c r="S67" i="2"/>
  <c r="K67" i="2"/>
  <c r="L67" i="2" s="1"/>
  <c r="U66" i="2"/>
  <c r="T66" i="2"/>
  <c r="S66" i="2"/>
  <c r="K66" i="2"/>
  <c r="M66" i="2" s="1"/>
  <c r="N66" i="2" s="1"/>
  <c r="U65" i="2"/>
  <c r="T65" i="2"/>
  <c r="S65" i="2"/>
  <c r="K65" i="2"/>
  <c r="L65" i="2" s="1"/>
  <c r="U64" i="2"/>
  <c r="T64" i="2"/>
  <c r="S64" i="2"/>
  <c r="K64" i="2"/>
  <c r="M64" i="2" s="1"/>
  <c r="N64" i="2" s="1"/>
  <c r="U63" i="2"/>
  <c r="T63" i="2"/>
  <c r="S63" i="2"/>
  <c r="K63" i="2"/>
  <c r="M63" i="2" s="1"/>
  <c r="U62" i="2"/>
  <c r="T62" i="2"/>
  <c r="S62" i="2"/>
  <c r="K62" i="2"/>
  <c r="M62" i="2" s="1"/>
  <c r="U61" i="2"/>
  <c r="T61" i="2"/>
  <c r="S61" i="2"/>
  <c r="K61" i="2"/>
  <c r="L61" i="2" s="1"/>
  <c r="U60" i="2"/>
  <c r="T60" i="2"/>
  <c r="S60" i="2"/>
  <c r="K60" i="2"/>
  <c r="M60" i="2" s="1"/>
  <c r="N60" i="2" s="1"/>
  <c r="U59" i="2"/>
  <c r="T59" i="2"/>
  <c r="S59" i="2"/>
  <c r="K59" i="2"/>
  <c r="L59" i="2" s="1"/>
  <c r="U58" i="2"/>
  <c r="T58" i="2"/>
  <c r="S58" i="2"/>
  <c r="K58" i="2"/>
  <c r="L58" i="2" s="1"/>
  <c r="U57" i="2"/>
  <c r="T57" i="2"/>
  <c r="S57" i="2"/>
  <c r="K57" i="2"/>
  <c r="L57" i="2" s="1"/>
  <c r="U56" i="2"/>
  <c r="T56" i="2"/>
  <c r="S56" i="2"/>
  <c r="K56" i="2"/>
  <c r="L56" i="2" s="1"/>
  <c r="U55" i="2"/>
  <c r="T55" i="2"/>
  <c r="S55" i="2"/>
  <c r="K55" i="2"/>
  <c r="L55" i="2" s="1"/>
  <c r="U54" i="2"/>
  <c r="T54" i="2"/>
  <c r="S54" i="2"/>
  <c r="K54" i="2"/>
  <c r="M54" i="2" s="1"/>
  <c r="N54" i="2" s="1"/>
  <c r="U53" i="2"/>
  <c r="T53" i="2"/>
  <c r="S53" i="2"/>
  <c r="K53" i="2"/>
  <c r="L53" i="2" s="1"/>
  <c r="U52" i="2"/>
  <c r="T52" i="2"/>
  <c r="S52" i="2"/>
  <c r="K52" i="2"/>
  <c r="L52" i="2" s="1"/>
  <c r="U51" i="2"/>
  <c r="T51" i="2"/>
  <c r="S51" i="2"/>
  <c r="K51" i="2"/>
  <c r="L51" i="2" s="1"/>
  <c r="U50" i="2"/>
  <c r="T50" i="2"/>
  <c r="S50" i="2"/>
  <c r="K50" i="2"/>
  <c r="M50" i="2" s="1"/>
  <c r="N50" i="2" s="1"/>
  <c r="U49" i="2"/>
  <c r="T49" i="2"/>
  <c r="S49" i="2"/>
  <c r="K49" i="2"/>
  <c r="L49" i="2" s="1"/>
  <c r="U48" i="2"/>
  <c r="T48" i="2"/>
  <c r="S48" i="2"/>
  <c r="K48" i="2"/>
  <c r="M48" i="2" s="1"/>
  <c r="N48" i="2" s="1"/>
  <c r="U47" i="2"/>
  <c r="T47" i="2"/>
  <c r="S47" i="2"/>
  <c r="K47" i="2"/>
  <c r="L47" i="2" s="1"/>
  <c r="U46" i="2"/>
  <c r="T46" i="2"/>
  <c r="S46" i="2"/>
  <c r="K46" i="2"/>
  <c r="M46" i="2" s="1"/>
  <c r="N46" i="2" s="1"/>
  <c r="U45" i="2"/>
  <c r="T45" i="2"/>
  <c r="S45" i="2"/>
  <c r="K45" i="2"/>
  <c r="L45" i="2" s="1"/>
  <c r="U44" i="2"/>
  <c r="T44" i="2"/>
  <c r="S44" i="2"/>
  <c r="K44" i="2"/>
  <c r="M44" i="2" s="1"/>
  <c r="N44" i="2" s="1"/>
  <c r="U43" i="2"/>
  <c r="T43" i="2"/>
  <c r="S43" i="2"/>
  <c r="K43" i="2"/>
  <c r="L43" i="2" s="1"/>
  <c r="U42" i="2"/>
  <c r="T42" i="2"/>
  <c r="S42" i="2"/>
  <c r="K42" i="2"/>
  <c r="L42" i="2" s="1"/>
  <c r="U41" i="2"/>
  <c r="T41" i="2"/>
  <c r="S41" i="2"/>
  <c r="K41" i="2"/>
  <c r="L41" i="2" s="1"/>
  <c r="U40" i="2"/>
  <c r="T40" i="2"/>
  <c r="S40" i="2"/>
  <c r="K40" i="2"/>
  <c r="M40" i="2" s="1"/>
  <c r="U39" i="2"/>
  <c r="T39" i="2"/>
  <c r="S39" i="2"/>
  <c r="K39" i="2"/>
  <c r="M39" i="2" s="1"/>
  <c r="U38" i="2"/>
  <c r="T38" i="2"/>
  <c r="S38" i="2"/>
  <c r="M38" i="2"/>
  <c r="N38" i="2" s="1"/>
  <c r="L38" i="2"/>
  <c r="U37" i="2"/>
  <c r="T37" i="2"/>
  <c r="S37" i="2"/>
  <c r="K37" i="2"/>
  <c r="M37" i="2" s="1"/>
  <c r="N37" i="2" s="1"/>
  <c r="U36" i="2"/>
  <c r="T36" i="2"/>
  <c r="S36" i="2"/>
  <c r="K36" i="2"/>
  <c r="M36" i="2" s="1"/>
  <c r="N36" i="2" s="1"/>
  <c r="U35" i="2"/>
  <c r="T35" i="2"/>
  <c r="S35" i="2"/>
  <c r="K35" i="2"/>
  <c r="M35" i="2" s="1"/>
  <c r="N35" i="2" s="1"/>
  <c r="U34" i="2"/>
  <c r="T34" i="2"/>
  <c r="S34" i="2"/>
  <c r="K34" i="2"/>
  <c r="M34" i="2" s="1"/>
  <c r="N34" i="2" s="1"/>
  <c r="U33" i="2"/>
  <c r="T33" i="2"/>
  <c r="S33" i="2"/>
  <c r="K33" i="2"/>
  <c r="M33" i="2" s="1"/>
  <c r="N33" i="2" s="1"/>
  <c r="U32" i="2"/>
  <c r="T32" i="2"/>
  <c r="S32" i="2"/>
  <c r="K32" i="2"/>
  <c r="M32" i="2" s="1"/>
  <c r="N32" i="2" s="1"/>
  <c r="U31" i="2"/>
  <c r="T31" i="2"/>
  <c r="S31" i="2"/>
  <c r="K31" i="2"/>
  <c r="M31" i="2" s="1"/>
  <c r="N31" i="2" s="1"/>
  <c r="U30" i="2"/>
  <c r="T30" i="2"/>
  <c r="S30" i="2"/>
  <c r="K30" i="2"/>
  <c r="M30" i="2" s="1"/>
  <c r="N30" i="2" s="1"/>
  <c r="U29" i="2"/>
  <c r="T29" i="2"/>
  <c r="S29" i="2"/>
  <c r="K29" i="2"/>
  <c r="M29" i="2" s="1"/>
  <c r="N29" i="2" s="1"/>
  <c r="U28" i="2"/>
  <c r="T28" i="2"/>
  <c r="S28" i="2"/>
  <c r="K28" i="2"/>
  <c r="M28" i="2" s="1"/>
  <c r="N28" i="2" s="1"/>
  <c r="U27" i="2"/>
  <c r="T27" i="2"/>
  <c r="S27" i="2"/>
  <c r="K27" i="2"/>
  <c r="M27" i="2" s="1"/>
  <c r="N27" i="2" s="1"/>
  <c r="U26" i="2"/>
  <c r="T26" i="2"/>
  <c r="S26" i="2"/>
  <c r="K26" i="2"/>
  <c r="M26" i="2" s="1"/>
  <c r="N26" i="2" s="1"/>
  <c r="U25" i="2"/>
  <c r="T25" i="2"/>
  <c r="S25" i="2"/>
  <c r="K25" i="2"/>
  <c r="M25" i="2" s="1"/>
  <c r="N25" i="2" s="1"/>
  <c r="U24" i="2"/>
  <c r="T24" i="2"/>
  <c r="S24" i="2"/>
  <c r="K24" i="2"/>
  <c r="M24" i="2" s="1"/>
  <c r="N24" i="2" s="1"/>
  <c r="U23" i="2"/>
  <c r="T23" i="2"/>
  <c r="S23" i="2"/>
  <c r="K23" i="2"/>
  <c r="M23" i="2" s="1"/>
  <c r="N23" i="2" s="1"/>
  <c r="U22" i="2"/>
  <c r="T22" i="2"/>
  <c r="S22" i="2"/>
  <c r="K22" i="2"/>
  <c r="M22" i="2" s="1"/>
  <c r="N22" i="2" s="1"/>
  <c r="U21" i="2"/>
  <c r="T21" i="2"/>
  <c r="S21" i="2"/>
  <c r="K21" i="2"/>
  <c r="M21" i="2" s="1"/>
  <c r="N21" i="2" s="1"/>
  <c r="U20" i="2"/>
  <c r="T20" i="2"/>
  <c r="S20" i="2"/>
  <c r="K20" i="2"/>
  <c r="M20" i="2" s="1"/>
  <c r="N20" i="2" s="1"/>
  <c r="U19" i="2"/>
  <c r="T19" i="2"/>
  <c r="S19" i="2"/>
  <c r="K19" i="2"/>
  <c r="M19" i="2" s="1"/>
  <c r="N19" i="2" s="1"/>
  <c r="U18" i="2"/>
  <c r="T18" i="2"/>
  <c r="S18" i="2"/>
  <c r="K18" i="2"/>
  <c r="M18" i="2" s="1"/>
  <c r="N18" i="2" s="1"/>
  <c r="U17" i="2"/>
  <c r="T17" i="2"/>
  <c r="S17" i="2"/>
  <c r="K17" i="2"/>
  <c r="M17" i="2" s="1"/>
  <c r="N17" i="2" s="1"/>
  <c r="U16" i="2"/>
  <c r="T16" i="2"/>
  <c r="S16" i="2"/>
  <c r="K16" i="2"/>
  <c r="M16" i="2" s="1"/>
  <c r="N16" i="2" s="1"/>
  <c r="U15" i="2"/>
  <c r="T15" i="2"/>
  <c r="S15" i="2"/>
  <c r="K15" i="2"/>
  <c r="M15" i="2" s="1"/>
  <c r="N15" i="2" s="1"/>
  <c r="U14" i="2"/>
  <c r="T14" i="2"/>
  <c r="S14" i="2"/>
  <c r="K14" i="2"/>
  <c r="M14" i="2" s="1"/>
  <c r="N14" i="2" s="1"/>
  <c r="U13" i="2"/>
  <c r="T13" i="2"/>
  <c r="S13" i="2"/>
  <c r="K13" i="2"/>
  <c r="M13" i="2" s="1"/>
  <c r="N13" i="2" s="1"/>
  <c r="U12" i="2"/>
  <c r="T12" i="2"/>
  <c r="S12" i="2"/>
  <c r="K12" i="2"/>
  <c r="M12" i="2" s="1"/>
  <c r="N12" i="2" s="1"/>
  <c r="U11" i="2"/>
  <c r="T11" i="2"/>
  <c r="S11" i="2"/>
  <c r="M11" i="2"/>
  <c r="N11" i="2" s="1"/>
  <c r="L11" i="2"/>
  <c r="U10" i="2"/>
  <c r="T10" i="2"/>
  <c r="S10" i="2"/>
  <c r="K10" i="2"/>
  <c r="M10" i="2" s="1"/>
  <c r="N10" i="2" s="1"/>
  <c r="U9" i="2"/>
  <c r="T9" i="2"/>
  <c r="S9" i="2"/>
  <c r="K9" i="2"/>
  <c r="L9" i="2" s="1"/>
  <c r="U8" i="2"/>
  <c r="T8" i="2"/>
  <c r="S8" i="2"/>
  <c r="K8" i="2"/>
  <c r="M8" i="2" s="1"/>
  <c r="N8" i="2" s="1"/>
  <c r="U7" i="2"/>
  <c r="T7" i="2"/>
  <c r="S7" i="2"/>
  <c r="K7" i="2"/>
  <c r="L7" i="2" s="1"/>
  <c r="U6" i="2"/>
  <c r="T6" i="2"/>
  <c r="S6" i="2"/>
  <c r="K6" i="2"/>
  <c r="M6" i="2" s="1"/>
  <c r="N6" i="2" s="1"/>
  <c r="U5" i="2"/>
  <c r="T5" i="2"/>
  <c r="S5" i="2"/>
  <c r="K5" i="2"/>
  <c r="L5" i="2" s="1"/>
  <c r="U4" i="2"/>
  <c r="T4" i="2"/>
  <c r="S4" i="2"/>
  <c r="K4" i="2"/>
  <c r="M4" i="2" s="1"/>
  <c r="N4" i="2" s="1"/>
  <c r="U3" i="2"/>
  <c r="T3" i="2"/>
  <c r="S3" i="2"/>
  <c r="K3" i="2"/>
  <c r="L3" i="2" s="1"/>
  <c r="U2" i="2"/>
  <c r="T2" i="2"/>
  <c r="S2" i="2"/>
  <c r="K2" i="2"/>
  <c r="M2" i="2" s="1"/>
  <c r="N2" i="2" s="1"/>
  <c r="K98" i="1"/>
  <c r="C98" i="1"/>
  <c r="K97" i="1"/>
  <c r="C97" i="1"/>
  <c r="K96" i="1"/>
  <c r="C96" i="1"/>
  <c r="K95" i="1"/>
  <c r="C95" i="1"/>
  <c r="K94" i="1"/>
  <c r="C94" i="1"/>
  <c r="K93" i="1"/>
  <c r="C93" i="1"/>
  <c r="K92" i="1"/>
  <c r="C92" i="1"/>
  <c r="K91" i="1"/>
  <c r="C91" i="1"/>
  <c r="K90" i="1"/>
  <c r="C90" i="1"/>
  <c r="K89" i="1"/>
  <c r="C89" i="1"/>
  <c r="K88" i="1"/>
  <c r="C88" i="1"/>
  <c r="K87" i="1"/>
  <c r="C87" i="1"/>
  <c r="K86" i="1"/>
  <c r="C86" i="1"/>
  <c r="K85" i="1"/>
  <c r="C85" i="1"/>
  <c r="K84" i="1"/>
  <c r="C84" i="1"/>
  <c r="K83" i="1"/>
  <c r="C83" i="1"/>
  <c r="K82" i="1"/>
  <c r="C82" i="1"/>
  <c r="K81" i="1"/>
  <c r="C81" i="1"/>
  <c r="K80" i="1"/>
  <c r="C80" i="1"/>
  <c r="K79" i="1"/>
  <c r="J79" i="1"/>
  <c r="C79" i="1"/>
  <c r="K78" i="1"/>
  <c r="C78" i="1"/>
  <c r="K77" i="1"/>
  <c r="C77" i="1"/>
  <c r="K76" i="1"/>
  <c r="C76" i="1"/>
  <c r="K75" i="1"/>
  <c r="C75" i="1"/>
  <c r="K74" i="1"/>
  <c r="C74" i="1"/>
  <c r="K73" i="1"/>
  <c r="C73" i="1"/>
  <c r="K72" i="1"/>
  <c r="C72" i="1"/>
  <c r="K71" i="1"/>
  <c r="C71" i="1"/>
  <c r="K70" i="1"/>
  <c r="C70" i="1"/>
  <c r="K69" i="1"/>
  <c r="C69" i="1"/>
  <c r="K68" i="1"/>
  <c r="J68" i="1"/>
  <c r="C68" i="1"/>
  <c r="K67" i="1"/>
  <c r="J67" i="1"/>
  <c r="C67" i="1"/>
  <c r="K66" i="1"/>
  <c r="J66" i="1"/>
  <c r="C66" i="1"/>
  <c r="K65" i="1"/>
  <c r="J65" i="1"/>
  <c r="C65" i="1"/>
  <c r="K64" i="1"/>
  <c r="J64" i="1"/>
  <c r="C64" i="1"/>
  <c r="K63" i="1"/>
  <c r="C63" i="1"/>
  <c r="K62" i="1"/>
  <c r="C62" i="1"/>
  <c r="K61" i="1"/>
  <c r="J61" i="1"/>
  <c r="C61" i="1"/>
  <c r="K60" i="1"/>
  <c r="J60" i="1"/>
  <c r="C60" i="1"/>
  <c r="K59" i="1"/>
  <c r="J59" i="1"/>
  <c r="C59" i="1"/>
  <c r="K58" i="1"/>
  <c r="J58" i="1"/>
  <c r="C58" i="1"/>
  <c r="K57" i="1"/>
  <c r="J57" i="1"/>
  <c r="C57" i="1"/>
  <c r="K56" i="1"/>
  <c r="J56" i="1"/>
  <c r="C56" i="1"/>
  <c r="K55" i="1"/>
  <c r="J55" i="1"/>
  <c r="C55" i="1"/>
  <c r="K54" i="1"/>
  <c r="J54" i="1"/>
  <c r="H54" i="1"/>
  <c r="C54" i="1"/>
  <c r="K53" i="1"/>
  <c r="J53" i="1"/>
  <c r="H53" i="1"/>
  <c r="C53" i="1"/>
  <c r="K52" i="1"/>
  <c r="J52" i="1"/>
  <c r="H52" i="1"/>
  <c r="C52" i="1"/>
  <c r="K51" i="1"/>
  <c r="J51" i="1"/>
  <c r="H51" i="1"/>
  <c r="C51" i="1"/>
  <c r="K50" i="1"/>
  <c r="J50" i="1"/>
  <c r="H50" i="1"/>
  <c r="C50" i="1"/>
  <c r="K49" i="1"/>
  <c r="J49" i="1"/>
  <c r="C49" i="1"/>
  <c r="K48" i="1"/>
  <c r="J48" i="1"/>
  <c r="C48" i="1"/>
  <c r="K47" i="1"/>
  <c r="J47" i="1"/>
  <c r="C47" i="1"/>
  <c r="K46" i="1"/>
  <c r="J46" i="1"/>
  <c r="H46" i="1"/>
  <c r="C46" i="1"/>
  <c r="K45" i="1"/>
  <c r="J45" i="1"/>
  <c r="C45" i="1"/>
  <c r="K44" i="1"/>
  <c r="J44" i="1"/>
  <c r="C44" i="1"/>
  <c r="K43" i="1"/>
  <c r="J43" i="1"/>
  <c r="H43" i="1"/>
  <c r="C43" i="1"/>
  <c r="K42" i="1"/>
  <c r="J42" i="1"/>
  <c r="H42" i="1"/>
  <c r="C42" i="1"/>
  <c r="K41" i="1"/>
  <c r="J41" i="1"/>
  <c r="H41" i="1"/>
  <c r="C41" i="1"/>
  <c r="K40" i="1"/>
  <c r="C40" i="1"/>
  <c r="K39" i="1"/>
  <c r="C39" i="1"/>
  <c r="K38" i="1"/>
  <c r="J38" i="1"/>
  <c r="C38" i="1"/>
  <c r="K37" i="1"/>
  <c r="J37" i="1"/>
  <c r="C37" i="1"/>
  <c r="K36" i="1"/>
  <c r="J36" i="1"/>
  <c r="C36" i="1"/>
  <c r="K35" i="1"/>
  <c r="J35" i="1"/>
  <c r="C35" i="1"/>
  <c r="K34" i="1"/>
  <c r="J34" i="1"/>
  <c r="C34" i="1"/>
  <c r="K33" i="1"/>
  <c r="J33" i="1"/>
  <c r="C33" i="1"/>
  <c r="K32" i="1"/>
  <c r="J32" i="1"/>
  <c r="C32" i="1"/>
  <c r="K31" i="1"/>
  <c r="J31" i="1"/>
  <c r="C31" i="1"/>
  <c r="K30" i="1"/>
  <c r="J30" i="1"/>
  <c r="C30" i="1"/>
  <c r="K29" i="1"/>
  <c r="J29" i="1"/>
  <c r="C29" i="1"/>
  <c r="K28" i="1"/>
  <c r="J28" i="1"/>
  <c r="C28" i="1"/>
  <c r="K27" i="1"/>
  <c r="J27" i="1"/>
  <c r="C27" i="1"/>
  <c r="K26" i="1"/>
  <c r="J26" i="1"/>
  <c r="H26" i="1"/>
  <c r="C26" i="1"/>
  <c r="K25" i="1"/>
  <c r="J25" i="1"/>
  <c r="C25" i="1"/>
  <c r="K24" i="1"/>
  <c r="J24" i="1"/>
  <c r="C24" i="1"/>
  <c r="K23" i="1"/>
  <c r="J23" i="1"/>
  <c r="C23" i="1"/>
  <c r="K22" i="1"/>
  <c r="J22" i="1"/>
  <c r="C22" i="1"/>
  <c r="K21" i="1"/>
  <c r="J21" i="1"/>
  <c r="C21" i="1"/>
  <c r="K20" i="1"/>
  <c r="J20" i="1"/>
  <c r="C20" i="1"/>
  <c r="K19" i="1"/>
  <c r="J19" i="1"/>
  <c r="C19" i="1"/>
  <c r="K18" i="1"/>
  <c r="J18" i="1"/>
  <c r="C18" i="1"/>
  <c r="K17" i="1"/>
  <c r="J17" i="1"/>
  <c r="C17" i="1"/>
  <c r="K16" i="1"/>
  <c r="J16" i="1"/>
  <c r="C16" i="1"/>
  <c r="K15" i="1"/>
  <c r="J15" i="1"/>
  <c r="C15" i="1"/>
  <c r="K14" i="1"/>
  <c r="J14" i="1"/>
  <c r="C14" i="1"/>
  <c r="K13" i="1"/>
  <c r="J13" i="1"/>
  <c r="C13" i="1"/>
  <c r="K12" i="1"/>
  <c r="J12" i="1"/>
  <c r="C12" i="1"/>
  <c r="K11" i="1"/>
  <c r="J11" i="1"/>
  <c r="C11" i="1"/>
  <c r="K10" i="1"/>
  <c r="J10" i="1"/>
  <c r="C10" i="1"/>
  <c r="K9" i="1"/>
  <c r="J9" i="1"/>
  <c r="C9" i="1"/>
  <c r="K8" i="1"/>
  <c r="J8" i="1"/>
  <c r="C8" i="1"/>
  <c r="K7" i="1"/>
  <c r="J7" i="1"/>
  <c r="C7" i="1"/>
  <c r="K6" i="1"/>
  <c r="J6" i="1"/>
  <c r="H6" i="1"/>
  <c r="C6" i="1"/>
  <c r="K5" i="1"/>
  <c r="J5" i="1"/>
  <c r="C5" i="1"/>
  <c r="K4" i="1"/>
  <c r="J4" i="1"/>
  <c r="C4" i="1"/>
  <c r="K3" i="1"/>
  <c r="J3" i="1"/>
  <c r="C3" i="1"/>
  <c r="K2" i="1"/>
  <c r="J2" i="1"/>
  <c r="C2" i="1"/>
  <c r="M52" i="2" l="1"/>
  <c r="N52" i="2" s="1"/>
  <c r="L44" i="2"/>
  <c r="L50" i="2"/>
  <c r="L54" i="2"/>
  <c r="L60" i="2"/>
  <c r="M3" i="2"/>
  <c r="N3" i="2" s="1"/>
  <c r="M58" i="2"/>
  <c r="N58" i="2" s="1"/>
  <c r="L48" i="2"/>
  <c r="M56" i="2"/>
  <c r="N56" i="2" s="1"/>
  <c r="M7" i="2"/>
  <c r="N7" i="2" s="1"/>
  <c r="M5" i="2"/>
  <c r="N5" i="2" s="1"/>
  <c r="M42" i="2"/>
  <c r="N42" i="2" s="1"/>
  <c r="M9" i="2"/>
  <c r="N9" i="2" s="1"/>
  <c r="L46" i="2"/>
  <c r="L12" i="2"/>
  <c r="L14" i="2"/>
  <c r="L16" i="2"/>
  <c r="L18" i="2"/>
  <c r="L20" i="2"/>
  <c r="L22" i="2"/>
  <c r="L24" i="2"/>
  <c r="L26" i="2"/>
  <c r="L28" i="2"/>
  <c r="L30" i="2"/>
  <c r="L32" i="2"/>
  <c r="L34" i="2"/>
  <c r="L36" i="2"/>
  <c r="M41" i="2"/>
  <c r="N41" i="2" s="1"/>
  <c r="M43" i="2"/>
  <c r="N43" i="2" s="1"/>
  <c r="M45" i="2"/>
  <c r="N45" i="2" s="1"/>
  <c r="M47" i="2"/>
  <c r="N47" i="2" s="1"/>
  <c r="M49" i="2"/>
  <c r="N49" i="2" s="1"/>
  <c r="M51" i="2"/>
  <c r="N51" i="2" s="1"/>
  <c r="M53" i="2"/>
  <c r="N53" i="2" s="1"/>
  <c r="M55" i="2"/>
  <c r="N55" i="2" s="1"/>
  <c r="M57" i="2"/>
  <c r="N57" i="2" s="1"/>
  <c r="M59" i="2"/>
  <c r="N59" i="2" s="1"/>
  <c r="M61" i="2"/>
  <c r="N61" i="2" s="1"/>
  <c r="L2" i="2"/>
  <c r="L4" i="2"/>
  <c r="L6" i="2"/>
  <c r="L8" i="2"/>
  <c r="L10" i="2"/>
  <c r="M65" i="2"/>
  <c r="N65" i="2" s="1"/>
  <c r="M67" i="2"/>
  <c r="N67" i="2" s="1"/>
  <c r="L64" i="2"/>
  <c r="L66" i="2"/>
  <c r="L68" i="2"/>
  <c r="L13" i="2"/>
  <c r="L15" i="2"/>
  <c r="L17" i="2"/>
  <c r="L19" i="2"/>
  <c r="L21" i="2"/>
  <c r="L23" i="2"/>
  <c r="L25" i="2"/>
  <c r="L27" i="2"/>
  <c r="L29" i="2"/>
  <c r="L31" i="2"/>
  <c r="L33" i="2"/>
  <c r="L35" i="2"/>
  <c r="L37" i="2"/>
</calcChain>
</file>

<file path=xl/sharedStrings.xml><?xml version="1.0" encoding="utf-8"?>
<sst xmlns="http://schemas.openxmlformats.org/spreadsheetml/2006/main" count="1997" uniqueCount="347">
  <si>
    <t>Column Name</t>
  </si>
  <si>
    <t>Mapping to Existing DB Schema</t>
  </si>
  <si>
    <t>HR</t>
  </si>
  <si>
    <t>Finance</t>
  </si>
  <si>
    <t>All Admin</t>
  </si>
  <si>
    <t>Insurance (Endorsment)</t>
  </si>
  <si>
    <t>insurance_endorsement</t>
  </si>
  <si>
    <t>Insurance Card Owlexa</t>
  </si>
  <si>
    <t>insurance_owlexa</t>
  </si>
  <si>
    <t>Insurance Card FPG</t>
  </si>
  <si>
    <t>insurance_fpg</t>
  </si>
  <si>
    <t>Emp. ID</t>
  </si>
  <si>
    <t>employee_id</t>
  </si>
  <si>
    <t>IMIP ID</t>
  </si>
  <si>
    <t>imip_id</t>
  </si>
  <si>
    <t>Employee Name</t>
  </si>
  <si>
    <t>name</t>
  </si>
  <si>
    <t>Gender</t>
  </si>
  <si>
    <t>gender</t>
  </si>
  <si>
    <t>Place of Birth</t>
  </si>
  <si>
    <t>place_of_birth</t>
  </si>
  <si>
    <t>Date of Birth</t>
  </si>
  <si>
    <t>date_of_birth</t>
  </si>
  <si>
    <t>Age</t>
  </si>
  <si>
    <t>age</t>
  </si>
  <si>
    <t>Marital Status</t>
  </si>
  <si>
    <t>marital_status</t>
  </si>
  <si>
    <t>Tax Status</t>
  </si>
  <si>
    <t>tax_status</t>
  </si>
  <si>
    <t>Spouse Name</t>
  </si>
  <si>
    <t>spouse_name</t>
  </si>
  <si>
    <t>Child Name 1</t>
  </si>
  <si>
    <t>child_name_1</t>
  </si>
  <si>
    <t>Child Name 2</t>
  </si>
  <si>
    <t>child_name_2</t>
  </si>
  <si>
    <t>Child Name 3</t>
  </si>
  <si>
    <t>child_name_3</t>
  </si>
  <si>
    <t>Religion</t>
  </si>
  <si>
    <t>religion</t>
  </si>
  <si>
    <t>Nationality</t>
  </si>
  <si>
    <t>nationality</t>
  </si>
  <si>
    <t>Blood Type</t>
  </si>
  <si>
    <t>blood_type</t>
  </si>
  <si>
    <t>Mobile Phone</t>
  </si>
  <si>
    <t>phone_number</t>
  </si>
  <si>
    <t>Emergency Contact Name</t>
  </si>
  <si>
    <t>emergency_contact_name</t>
  </si>
  <si>
    <t>Emergency Contact Phone</t>
  </si>
  <si>
    <t>emergency_contact_phone</t>
  </si>
  <si>
    <t>Kartu Keluarga No</t>
  </si>
  <si>
    <t>kartu_keluarga_no</t>
  </si>
  <si>
    <t>KTP No</t>
  </si>
  <si>
    <t>ktp_no</t>
  </si>
  <si>
    <t>KTP Address</t>
  </si>
  <si>
    <t>address</t>
  </si>
  <si>
    <t>KTP City</t>
  </si>
  <si>
    <t>city</t>
  </si>
  <si>
    <t>Poin of Hire</t>
  </si>
  <si>
    <t>point_of_hire</t>
  </si>
  <si>
    <t>Poin of Origin</t>
  </si>
  <si>
    <t>point_of_origin</t>
  </si>
  <si>
    <t>Education</t>
  </si>
  <si>
    <t>education</t>
  </si>
  <si>
    <t>Schedule Type</t>
  </si>
  <si>
    <t>schedule_type</t>
  </si>
  <si>
    <t>First Join Date (Merdeka Group)</t>
  </si>
  <si>
    <t>first_join_date_merdeka</t>
  </si>
  <si>
    <t>Transfer Merdeka Group</t>
  </si>
  <si>
    <t>transfer_merdeka</t>
  </si>
  <si>
    <t>First Join Date</t>
  </si>
  <si>
    <t>first_join_date</t>
  </si>
  <si>
    <t>Join Date</t>
  </si>
  <si>
    <t>join_date</t>
  </si>
  <si>
    <t>Employment Status</t>
  </si>
  <si>
    <t>employment_status</t>
  </si>
  <si>
    <t>End Contract</t>
  </si>
  <si>
    <t>end_contract</t>
  </si>
  <si>
    <t>Years in Service</t>
  </si>
  <si>
    <t>years_in_service</t>
  </si>
  <si>
    <t>Branch ID</t>
  </si>
  <si>
    <t>branch_id</t>
  </si>
  <si>
    <t>Branch</t>
  </si>
  <si>
    <t>branch</t>
  </si>
  <si>
    <t>Company Office</t>
  </si>
  <si>
    <t>company_office</t>
  </si>
  <si>
    <t>Work Location</t>
  </si>
  <si>
    <t>work_location</t>
  </si>
  <si>
    <t>Division</t>
  </si>
  <si>
    <t>division</t>
  </si>
  <si>
    <t>Department</t>
  </si>
  <si>
    <t>department</t>
  </si>
  <si>
    <t>Section</t>
  </si>
  <si>
    <t>section</t>
  </si>
  <si>
    <t>Direct Report</t>
  </si>
  <si>
    <t>direct_report</t>
  </si>
  <si>
    <t>Job Title</t>
  </si>
  <si>
    <t>job_title</t>
  </si>
  <si>
    <t>Grade</t>
  </si>
  <si>
    <t>grade</t>
  </si>
  <si>
    <t>Position Grade</t>
  </si>
  <si>
    <t>position_grade</t>
  </si>
  <si>
    <t>Group Job Title</t>
  </si>
  <si>
    <t>group_job_title</t>
  </si>
  <si>
    <t>Bank Name</t>
  </si>
  <si>
    <t>bank_name</t>
  </si>
  <si>
    <t>Account Name</t>
  </si>
  <si>
    <t>account_name</t>
  </si>
  <si>
    <t>Account No</t>
  </si>
  <si>
    <t>account_no</t>
  </si>
  <si>
    <t>NPWP</t>
  </si>
  <si>
    <t>npwp</t>
  </si>
  <si>
    <t>BPJS TK No</t>
  </si>
  <si>
    <t>bpjs_tk</t>
  </si>
  <si>
    <t>BPJS KES No</t>
  </si>
  <si>
    <t>bpjs_kes</t>
  </si>
  <si>
    <t>STATUS BPJS Kesehatan</t>
  </si>
  <si>
    <t>status_bpjs_kes</t>
  </si>
  <si>
    <t>KITAS NO</t>
  </si>
  <si>
    <t>kitas_no</t>
  </si>
  <si>
    <t>PASSPORT ID</t>
  </si>
  <si>
    <t>passport_no</t>
  </si>
  <si>
    <t>Travel In</t>
  </si>
  <si>
    <t>travel_in</t>
  </si>
  <si>
    <t>Travel Out</t>
  </si>
  <si>
    <t>travel_out</t>
  </si>
  <si>
    <t>Social Insurance No (alt BPJS TK)</t>
  </si>
  <si>
    <t>social_insurance_no_alt</t>
  </si>
  <si>
    <t>BPJS Kesehatan No (alt BPJS KES)</t>
  </si>
  <si>
    <t>bpjs_kes_no_alt</t>
  </si>
  <si>
    <t>Terminated Date</t>
  </si>
  <si>
    <t>terminated_date</t>
  </si>
  <si>
    <t>Terminated Type</t>
  </si>
  <si>
    <t>terminated_type</t>
  </si>
  <si>
    <t>Terminated Reason</t>
  </si>
  <si>
    <t>terminated_reason</t>
  </si>
  <si>
    <t>Black List MTI</t>
  </si>
  <si>
    <t>blacklist_mti</t>
  </si>
  <si>
    <t>Black List IMIP</t>
  </si>
  <si>
    <t>blacklist_imip</t>
  </si>
  <si>
    <t>Office Email</t>
  </si>
  <si>
    <t>office_email</t>
  </si>
  <si>
    <t>status</t>
  </si>
  <si>
    <t>FPG No</t>
  </si>
  <si>
    <t>fpg_no</t>
  </si>
  <si>
    <t>OWLEXA No</t>
  </si>
  <si>
    <t>owlexa_no</t>
  </si>
  <si>
    <t>Month of Birthday</t>
  </si>
  <si>
    <t>month_of_birthday</t>
  </si>
  <si>
    <t>ID CARD MTI</t>
  </si>
  <si>
    <t>id_card_mti</t>
  </si>
  <si>
    <t>Field</t>
  </si>
  <si>
    <t>field</t>
  </si>
  <si>
    <t>Bank Code</t>
  </si>
  <si>
    <t>bank_code</t>
  </si>
  <si>
    <t>ICBC Bank Account No.</t>
  </si>
  <si>
    <t>icbc_bank_account_no</t>
  </si>
  <si>
    <t>Name as Pasport</t>
  </si>
  <si>
    <t>name_as_passport</t>
  </si>
  <si>
    <t>Personal email</t>
  </si>
  <si>
    <t>email</t>
  </si>
  <si>
    <t>Passport Expiry</t>
  </si>
  <si>
    <t>passport_expiry</t>
  </si>
  <si>
    <t>KITAS Expiry</t>
  </si>
  <si>
    <t>kitas_expiry</t>
  </si>
  <si>
    <t>IMTA</t>
  </si>
  <si>
    <t>imta</t>
  </si>
  <si>
    <t>RPTKA No</t>
  </si>
  <si>
    <t>rptka_no</t>
  </si>
  <si>
    <t>RPTKA Position</t>
  </si>
  <si>
    <t>rptka_position</t>
  </si>
  <si>
    <t>KITAS Address</t>
  </si>
  <si>
    <t>kitas_address</t>
  </si>
  <si>
    <t>Job Tittle (Based on KITAS)</t>
  </si>
  <si>
    <t>job_title_kitas</t>
  </si>
  <si>
    <t>ICBC Username</t>
  </si>
  <si>
    <t>icbc_username</t>
  </si>
  <si>
    <t>Batch</t>
  </si>
  <si>
    <t>batch</t>
  </si>
  <si>
    <t>Cek Document / Note</t>
  </si>
  <si>
    <t>note</t>
  </si>
  <si>
    <t>Paspor (Checklist)</t>
  </si>
  <si>
    <t>passport_checklist</t>
  </si>
  <si>
    <t>KITAS (Checklist)</t>
  </si>
  <si>
    <t>kitas_checklist</t>
  </si>
  <si>
    <t>IMTA (Checklist)</t>
  </si>
  <si>
    <t>imta_checklist</t>
  </si>
  <si>
    <t>RPTKA (Checklist)</t>
  </si>
  <si>
    <t>rptka_checklist</t>
  </si>
  <si>
    <t>NPWP (Checklist)</t>
  </si>
  <si>
    <t>npwp_checklist</t>
  </si>
  <si>
    <t>BPJS-KES (Checklist)</t>
  </si>
  <si>
    <t>bpjs_kes_checklist</t>
  </si>
  <si>
    <t>BPJS-TK (Checklist)</t>
  </si>
  <si>
    <t>bpjs_tk_checklist</t>
  </si>
  <si>
    <t>Bank (Checklist)</t>
  </si>
  <si>
    <t>bank_checklist</t>
  </si>
  <si>
    <t>Indonesia</t>
  </si>
  <si>
    <t>Expat</t>
  </si>
  <si>
    <t>Y</t>
  </si>
  <si>
    <t>Data Type</t>
  </si>
  <si>
    <t>IS New</t>
  </si>
  <si>
    <t>YES</t>
  </si>
  <si>
    <t>Table Name</t>
  </si>
  <si>
    <t>Data Example</t>
  </si>
  <si>
    <t>Locality Status</t>
  </si>
  <si>
    <t>Employee Status</t>
  </si>
  <si>
    <t>0 (0,1)</t>
  </si>
  <si>
    <t>1 (0,1)</t>
  </si>
  <si>
    <t>MTI12345 (Free Text)</t>
  </si>
  <si>
    <t>IMIP77889 (Free Text)</t>
  </si>
  <si>
    <t>Andi Saputra (Free Text)</t>
  </si>
  <si>
    <t>Male (Dropdown: Male,Female)</t>
  </si>
  <si>
    <t>Jakarta (Free Text)</t>
  </si>
  <si>
    <t>34 (Calculated)</t>
  </si>
  <si>
    <t>Married (Dropdown: Single,Married,Divorced,Widowed)</t>
  </si>
  <si>
    <t>TK0 (Dropdown: TK0,TK1,TK2,TK3,K0,K1,K2,K3)</t>
  </si>
  <si>
    <t>Siti Aminah (Free Text)</t>
  </si>
  <si>
    <t>Budi (Free Text)</t>
  </si>
  <si>
    <t>Sari (Free Text)</t>
  </si>
  <si>
    <t>– (Free Text)</t>
  </si>
  <si>
    <t>Islam (Dropdown: Islam,Kristen Protestan,Katolik,Hindu,Buddha,Konghucu,Lainnya)</t>
  </si>
  <si>
    <t>Indonesia (Dropdown: Indonesia,China,Philippines,India,Thailand,Malaysia,Vietnam,Other)</t>
  </si>
  <si>
    <t>O (Dropdown: A,B,AB,O,A+,B+,O+,AB+)</t>
  </si>
  <si>
    <t>081234567890 (Free Text)</t>
  </si>
  <si>
    <t>Rudi (Free Text)</t>
  </si>
  <si>
    <t>081298765432 (Free Text)</t>
  </si>
  <si>
    <t>3275XXXXXXXX (Free Text)</t>
  </si>
  <si>
    <t>3174XXXXXXXX (Free Text)</t>
  </si>
  <si>
    <t>Jl. Mawar No. 12 (Free Text)</t>
  </si>
  <si>
    <t>Jakarta Barat (Free Text)</t>
  </si>
  <si>
    <t>Surabaya (Free Text)</t>
  </si>
  <si>
    <t>S1 (Dropdown: SMP,SMA/SMK,D3,S1,S2,S3)</t>
  </si>
  <si>
    <t>Shift (Dropdown: Shift,Non-Shift,Office Hours,Roster 6:2,Roster 8:2)</t>
  </si>
  <si>
    <t>Permanent (Dropdown: Permanent,Contract,Probation,Internship)</t>
  </si>
  <si>
    <t>–</t>
  </si>
  <si>
    <t>4 Tahun 2 Bulan (Calculated)</t>
  </si>
  <si>
    <t>MTI-SITE-01 (Free Text)</t>
  </si>
  <si>
    <t>Morowali (Dropdown: Morowali,Jakarta,Surabaya)</t>
  </si>
  <si>
    <t>Jakarta Office (Dropdown: Jakarta Office,Morowali Office)</t>
  </si>
  <si>
    <t>Morowali (Dropdown: Morowali,IMIP,Jakarta,HO)</t>
  </si>
  <si>
    <t>ICT (Dropdown: ICT,HR,Finance,Operation,Engineering)</t>
  </si>
  <si>
    <t>Support Services (Dropdown: Support Services,Maintenance,Production,Administration)</t>
  </si>
  <si>
    <t>IT Support (Dropdown: IT Support,Networking,System,Mechanical)</t>
  </si>
  <si>
    <t>Adi Wijaya (Free Text)</t>
  </si>
  <si>
    <t>ICT Supervisor (Free Text)</t>
  </si>
  <si>
    <t>10 (Dropdown: 7,8,9,10,11,12,13,14,15,16,17,18)</t>
  </si>
  <si>
    <t>Supervisor (Dropdown: Staff,NonStaff,Supervisor,Manager)</t>
  </si>
  <si>
    <t>System Analyst (Free Text)</t>
  </si>
  <si>
    <t>BRI (Dropdown: BRI,BNI,BCA,Mandiri,ICBC)</t>
  </si>
  <si>
    <t>1234567890 (Free Text)</t>
  </si>
  <si>
    <t>09.123.456.7-890.000 (Free Text)</t>
  </si>
  <si>
    <t>12345678901 (Free Text)</t>
  </si>
  <si>
    <t>98765432100 (Free Text)</t>
  </si>
  <si>
    <t>Active (Dropdown: Active,Non Active,PBI,Not Registered)</t>
  </si>
  <si>
    <t>KITAS8899 (Free Text)</t>
  </si>
  <si>
    <t>A1234567 (Free Text)</t>
  </si>
  <si>
    <t>ALT998877 (Free Text)</t>
  </si>
  <si>
    <t>ALT887766 (Free Text)</t>
  </si>
  <si>
    <t>– (Dropdown: Resignation,Termination,End Contract,Retirement)</t>
  </si>
  <si>
    <t>andi.saputra@merdekabattery.com (Free Text)</t>
  </si>
  <si>
    <t>Local (Dropdown: Local,Non Local,Overseas)</t>
  </si>
  <si>
    <t>FPG9988 (Free Text)</t>
  </si>
  <si>
    <t>OWX1122 (Free Text)</t>
  </si>
  <si>
    <t>Jan (Calculated)</t>
  </si>
  <si>
    <t>Metallurgy Engineering (Dropdown: Metallurgy Engineering,Chemical Engineering,IT,Finance,Mechanical Engineering)</t>
  </si>
  <si>
    <t>009 (Dropdown: 014,009,002,008)</t>
  </si>
  <si>
    <t>ICBC998877 (Free Text)</t>
  </si>
  <si>
    <t>ANDI SAPUTRA (Free Text)</t>
  </si>
  <si>
    <t>andi@gmail.com (Free Text)</t>
  </si>
  <si>
    <t>IMTA778899 (Free Text)</t>
  </si>
  <si>
    <t>RPTKA556677 (Free Text)</t>
  </si>
  <si>
    <t>Foreign Expert (Dropdown: Foreign Expert,Engineer,Supervisor)</t>
  </si>
  <si>
    <t>Jl. Mawar No. 7 (Free Text)</t>
  </si>
  <si>
    <t>Engineer (Dropdown: Engineer,Specialist,Supervisor)</t>
  </si>
  <si>
    <t>andi.icbc (Free Text)</t>
  </si>
  <si>
    <t>Batch-2024-01 (Free Text)</t>
  </si>
  <si>
    <t>Free text (Free Text)</t>
  </si>
  <si>
    <t>Active (Dropdown: Active,Inactive,Resign,Terminated)</t>
  </si>
  <si>
    <t>NO</t>
  </si>
  <si>
    <t>IND Active</t>
  </si>
  <si>
    <t>IND Inactive</t>
  </si>
  <si>
    <t>EXP Active</t>
  </si>
  <si>
    <t>EXP Inactive</t>
  </si>
  <si>
    <t>Category</t>
  </si>
  <si>
    <t>Status</t>
  </si>
  <si>
    <t>Notes</t>
  </si>
  <si>
    <t>Need Column?</t>
  </si>
  <si>
    <t>Existing Table Name</t>
  </si>
  <si>
    <t>Current Data Type</t>
  </si>
  <si>
    <t>IS Valid</t>
  </si>
  <si>
    <t>Example Values</t>
  </si>
  <si>
    <t>✔</t>
  </si>
  <si>
    <t>BOTH</t>
  </si>
  <si>
    <t>both</t>
  </si>
  <si>
    <t>BIT</t>
  </si>
  <si>
    <t>Checklist (V/✔)</t>
  </si>
  <si>
    <t>employee_insurance</t>
  </si>
  <si>
    <t>Checklist</t>
  </si>
  <si>
    <t>VARCHAR(20)</t>
  </si>
  <si>
    <t>Primary Employee ID</t>
  </si>
  <si>
    <t>employee_bank, employee_contact, employee_core, employee_employment, employee_insurance, employee_onboard, employee_travel</t>
  </si>
  <si>
    <t>—</t>
  </si>
  <si>
    <t>IND</t>
  </si>
  <si>
    <t>IND only</t>
  </si>
  <si>
    <t>employee_core</t>
  </si>
  <si>
    <t>VARCHAR(100)</t>
  </si>
  <si>
    <t>VARCHAR(10)</t>
  </si>
  <si>
    <t>Male/Female</t>
  </si>
  <si>
    <t>VARCHAR(50)</t>
  </si>
  <si>
    <t>DATE</t>
  </si>
  <si>
    <t>INT</t>
  </si>
  <si>
    <t>Calculated</t>
  </si>
  <si>
    <t>Single/Married</t>
  </si>
  <si>
    <t>K0/K1/K2</t>
  </si>
  <si>
    <t>employee_contact</t>
  </si>
  <si>
    <t>VARCHAR(30)</t>
  </si>
  <si>
    <t>e.g. Indonesia/China</t>
  </si>
  <si>
    <t>VARCHAR(5)</t>
  </si>
  <si>
    <t>A/B/AB/O</t>
  </si>
  <si>
    <t>VARCHAR(25)</t>
  </si>
  <si>
    <t>IND &amp; EXP</t>
  </si>
  <si>
    <t>VARCHAR(255)</t>
  </si>
  <si>
    <t>employee_onboard</t>
  </si>
  <si>
    <t>Shift pattern</t>
  </si>
  <si>
    <t>Contract/Permanent</t>
  </si>
  <si>
    <t>As-is: “2Tahun11Bulan”</t>
  </si>
  <si>
    <t>EXP</t>
  </si>
  <si>
    <t>EXP only</t>
  </si>
  <si>
    <t>employee_employment</t>
  </si>
  <si>
    <t>Supervisor</t>
  </si>
  <si>
    <t>Staff/NonStaff</t>
  </si>
  <si>
    <t>employee_bank</t>
  </si>
  <si>
    <t>active + exp inactive</t>
  </si>
  <si>
    <t>Active/PBI/etc</t>
  </si>
  <si>
    <t>employee_travel</t>
  </si>
  <si>
    <t>active</t>
  </si>
  <si>
    <t>inactive</t>
  </si>
  <si>
    <t>IND inactive only</t>
  </si>
  <si>
    <t>VARCHAR(150)</t>
  </si>
  <si>
    <t>locality_status</t>
  </si>
  <si>
    <t>VARCHAR(15)</t>
  </si>
  <si>
    <t>Jan/Feb/…</t>
  </si>
  <si>
    <t>Batch number</t>
  </si>
  <si>
    <t>employee_notes</t>
  </si>
  <si>
    <t>TEXT</t>
  </si>
  <si>
    <t>Free text</t>
  </si>
  <si>
    <t>employee_checklist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</si>
</sst>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1" applyFont="1" applyBorder="1" applyAlignme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dekabattery.sharepoint.com/sites/MTIICTWorkList/Shared%20Documents/00.%20Document%20Control%20&amp;%20Admin/Indah/AI%20Development/AI%20Development/Compensation%20&amp;%20Benefit/Master%20Data%20-%20Database%20Schema%20Proposed%20-%20Rev.%20002.xlsx" TargetMode="External"/><Relationship Id="rId1" Type="http://schemas.openxmlformats.org/officeDocument/2006/relationships/externalLinkPath" Target="https://merdekabattery.sharepoint.com/sites/MTIICTWorkList/Shared%20Documents/00.%20Document%20Control%20&amp;%20Admin/Indah/AI%20Development/AI%20Development/Compensation%20&amp;%20Benefit/Master%20Data%20-%20Database%20Schema%20Proposed%20-%20Rev.%200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dekabattery.sharepoint.com/sites/MTIICTWorkList/Shared%20Documents/00.%20Document%20Control%20&amp;%20Admin/Indah/AI%20Development/AI%20Development/Compensation%20&amp;%20Benefit/Master%20Data%20-%20Database%20Schema%20Proposed%20-%20Rev.%20001.xlsx" TargetMode="External"/><Relationship Id="rId1" Type="http://schemas.openxmlformats.org/officeDocument/2006/relationships/externalLinkPath" Target="https://merdekabattery.sharepoint.com/sites/MTIICTWorkList/Shared%20Documents/00.%20Document%20Control%20&amp;%20Admin/Indah/AI%20Development/AI%20Development/Compensation%20&amp;%20Benefit/Master%20Data%20-%20Database%20Schema%20Proposed%20-%20Rev.%200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cripts\Projects\mti-employee\backend\scripts\db_schema_overview_dedup.xlsx" TargetMode="External"/><Relationship Id="rId1" Type="http://schemas.openxmlformats.org/officeDocument/2006/relationships/externalLinkPath" Target="db_schema_overview_ded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 Schema Proposed V1"/>
      <sheetName val="Database Schema Proposed V2"/>
      <sheetName val="Data Table To Show"/>
      <sheetName val="Sheet2"/>
      <sheetName val="Sheet5"/>
      <sheetName val="Sheet4"/>
      <sheetName val="Master Data - Database Schema P"/>
    </sheetNames>
    <sheetDataSet>
      <sheetData sheetId="0" refreshError="1"/>
      <sheetData sheetId="1"/>
      <sheetData sheetId="2"/>
      <sheetData sheetId="3" refreshError="1"/>
      <sheetData sheetId="4" refreshError="1"/>
      <sheetData sheetId="5">
        <row r="1">
          <cell r="A1" t="str">
            <v>Source Column</v>
          </cell>
          <cell r="B1" t="str">
            <v>Target Column</v>
          </cell>
        </row>
        <row r="2">
          <cell r="A2" t="str">
            <v>Insurance (Endorsment)</v>
          </cell>
          <cell r="B2" t="str">
            <v>insurance_endorsement</v>
          </cell>
        </row>
        <row r="3">
          <cell r="A3" t="str">
            <v>Insurance Card Owlexa</v>
          </cell>
          <cell r="B3" t="str">
            <v>insurance_owlexa</v>
          </cell>
        </row>
        <row r="4">
          <cell r="A4" t="str">
            <v>Insurance Card FPG</v>
          </cell>
          <cell r="B4" t="str">
            <v>insurance_fpg</v>
          </cell>
        </row>
        <row r="5">
          <cell r="A5" t="str">
            <v>Emp. ID</v>
          </cell>
          <cell r="B5" t="str">
            <v>employee_id</v>
          </cell>
        </row>
        <row r="6">
          <cell r="A6" t="str">
            <v>IMIP ID</v>
          </cell>
          <cell r="B6" t="str">
            <v>imip_id</v>
          </cell>
        </row>
        <row r="7">
          <cell r="A7" t="str">
            <v>Employee Name</v>
          </cell>
          <cell r="B7" t="str">
            <v>name</v>
          </cell>
        </row>
        <row r="8">
          <cell r="A8" t="str">
            <v>Gender</v>
          </cell>
          <cell r="B8" t="str">
            <v>gender</v>
          </cell>
        </row>
        <row r="9">
          <cell r="A9" t="str">
            <v>Place of Birth</v>
          </cell>
          <cell r="B9" t="str">
            <v>place_of_birth</v>
          </cell>
        </row>
        <row r="10">
          <cell r="A10" t="str">
            <v>Date of Birth</v>
          </cell>
          <cell r="B10" t="str">
            <v>date_of_birth</v>
          </cell>
        </row>
        <row r="11">
          <cell r="A11" t="str">
            <v>Marital Status</v>
          </cell>
          <cell r="B11" t="str">
            <v>marital_status</v>
          </cell>
        </row>
        <row r="12">
          <cell r="A12" t="str">
            <v>Tax Status</v>
          </cell>
          <cell r="B12" t="str">
            <v>tax_status</v>
          </cell>
        </row>
        <row r="13">
          <cell r="A13" t="str">
            <v>Spouse Name</v>
          </cell>
          <cell r="B13" t="str">
            <v>spouse_name</v>
          </cell>
        </row>
        <row r="14">
          <cell r="A14" t="str">
            <v>Child Name 1</v>
          </cell>
          <cell r="B14" t="str">
            <v>child_name_1</v>
          </cell>
        </row>
        <row r="15">
          <cell r="A15" t="str">
            <v>Child Name 2</v>
          </cell>
          <cell r="B15" t="str">
            <v>child_name_2</v>
          </cell>
        </row>
        <row r="16">
          <cell r="A16" t="str">
            <v>Child Name 3</v>
          </cell>
          <cell r="B16" t="str">
            <v>child_name_3</v>
          </cell>
        </row>
        <row r="17">
          <cell r="A17" t="str">
            <v>Religion</v>
          </cell>
          <cell r="B17" t="str">
            <v>religion</v>
          </cell>
        </row>
        <row r="18">
          <cell r="A18" t="str">
            <v>Nationality</v>
          </cell>
          <cell r="B18" t="str">
            <v>nationality</v>
          </cell>
        </row>
        <row r="19">
          <cell r="A19" t="str">
            <v>Blood Type</v>
          </cell>
          <cell r="B19" t="str">
            <v>blood_type</v>
          </cell>
        </row>
        <row r="20">
          <cell r="A20" t="str">
            <v>Mobile Phone</v>
          </cell>
          <cell r="B20" t="str">
            <v>phone_number</v>
          </cell>
        </row>
        <row r="21">
          <cell r="A21" t="str">
            <v>Emergency Contact Name</v>
          </cell>
          <cell r="B21" t="str">
            <v>emergency_contact_name</v>
          </cell>
        </row>
        <row r="22">
          <cell r="A22" t="str">
            <v>Emergency Contact Phone</v>
          </cell>
          <cell r="B22" t="str">
            <v>emergency_contact_phone</v>
          </cell>
        </row>
        <row r="23">
          <cell r="A23" t="str">
            <v>Kartu Keluarga No</v>
          </cell>
          <cell r="B23" t="str">
            <v>kartu_keluarga_no</v>
          </cell>
        </row>
        <row r="24">
          <cell r="A24" t="str">
            <v>KTP No</v>
          </cell>
          <cell r="B24" t="str">
            <v>ktp_no</v>
          </cell>
        </row>
        <row r="25">
          <cell r="A25" t="str">
            <v>KTP Address</v>
          </cell>
          <cell r="B25" t="str">
            <v>address</v>
          </cell>
        </row>
        <row r="26">
          <cell r="A26" t="str">
            <v>KTP City</v>
          </cell>
          <cell r="B26" t="str">
            <v>city</v>
          </cell>
        </row>
        <row r="27">
          <cell r="A27" t="str">
            <v>Poin of Hire</v>
          </cell>
          <cell r="B27" t="str">
            <v>point_of_hire</v>
          </cell>
        </row>
        <row r="28">
          <cell r="A28" t="str">
            <v>Poin of Origin</v>
          </cell>
          <cell r="B28" t="str">
            <v>point_of_origin</v>
          </cell>
        </row>
        <row r="29">
          <cell r="A29" t="str">
            <v>Education</v>
          </cell>
          <cell r="B29" t="str">
            <v>education</v>
          </cell>
        </row>
        <row r="30">
          <cell r="A30" t="str">
            <v>Schedule Type</v>
          </cell>
          <cell r="B30" t="str">
            <v>schedule_type</v>
          </cell>
        </row>
        <row r="31">
          <cell r="A31" t="str">
            <v>First Join Date (Merdeka Group)</v>
          </cell>
          <cell r="B31" t="str">
            <v>first_join_date_merdeka</v>
          </cell>
        </row>
        <row r="32">
          <cell r="A32" t="str">
            <v>Transfer Merdeka Group</v>
          </cell>
          <cell r="B32" t="str">
            <v>transfer_merdeka</v>
          </cell>
        </row>
        <row r="33">
          <cell r="A33" t="str">
            <v>First Join Date</v>
          </cell>
          <cell r="B33" t="str">
            <v>first_join_date</v>
          </cell>
        </row>
        <row r="34">
          <cell r="A34" t="str">
            <v>Join Date</v>
          </cell>
          <cell r="B34" t="str">
            <v>join_date</v>
          </cell>
        </row>
        <row r="35">
          <cell r="A35" t="str">
            <v>Employment Status</v>
          </cell>
          <cell r="B35" t="str">
            <v>employment_status</v>
          </cell>
        </row>
        <row r="36">
          <cell r="A36" t="str">
            <v>End Contract</v>
          </cell>
          <cell r="B36" t="str">
            <v>end_contract</v>
          </cell>
        </row>
        <row r="37">
          <cell r="A37" t="str">
            <v>Branch ID</v>
          </cell>
        </row>
        <row r="38">
          <cell r="A38" t="str">
            <v>Branch</v>
          </cell>
        </row>
        <row r="39">
          <cell r="A39" t="str">
            <v>Company Office</v>
          </cell>
          <cell r="B39" t="str">
            <v>company_office</v>
          </cell>
        </row>
        <row r="40">
          <cell r="A40" t="str">
            <v>Work Location</v>
          </cell>
          <cell r="B40" t="str">
            <v>work_location</v>
          </cell>
        </row>
        <row r="41">
          <cell r="A41" t="str">
            <v>Division</v>
          </cell>
          <cell r="B41" t="str">
            <v>division</v>
          </cell>
        </row>
        <row r="42">
          <cell r="A42" t="str">
            <v>Department</v>
          </cell>
          <cell r="B42" t="str">
            <v>department</v>
          </cell>
        </row>
        <row r="43">
          <cell r="A43" t="str">
            <v>Section</v>
          </cell>
          <cell r="B43" t="str">
            <v>section</v>
          </cell>
        </row>
        <row r="44">
          <cell r="A44" t="str">
            <v>Direct Report</v>
          </cell>
          <cell r="B44" t="str">
            <v>direct_report</v>
          </cell>
        </row>
        <row r="45">
          <cell r="A45" t="str">
            <v>Job Title</v>
          </cell>
          <cell r="B45" t="str">
            <v>job_title</v>
          </cell>
        </row>
        <row r="46">
          <cell r="A46" t="str">
            <v>Grade</v>
          </cell>
          <cell r="B46" t="str">
            <v>grade</v>
          </cell>
        </row>
        <row r="47">
          <cell r="A47" t="str">
            <v>Position Grade</v>
          </cell>
          <cell r="B47" t="str">
            <v>position_grade</v>
          </cell>
        </row>
        <row r="48">
          <cell r="A48" t="str">
            <v>Group Job Title</v>
          </cell>
          <cell r="B48" t="str">
            <v>group_job_title</v>
          </cell>
        </row>
        <row r="49">
          <cell r="A49" t="str">
            <v>Bank Name</v>
          </cell>
          <cell r="B49" t="str">
            <v>bank_name</v>
          </cell>
        </row>
        <row r="50">
          <cell r="A50" t="str">
            <v>Account Name</v>
          </cell>
          <cell r="B50" t="str">
            <v>account_name</v>
          </cell>
        </row>
        <row r="51">
          <cell r="A51" t="str">
            <v>Account No</v>
          </cell>
          <cell r="B51" t="str">
            <v>account_no</v>
          </cell>
        </row>
        <row r="52">
          <cell r="A52" t="str">
            <v>NPWP</v>
          </cell>
          <cell r="B52" t="str">
            <v>npwp</v>
          </cell>
        </row>
        <row r="53">
          <cell r="A53" t="str">
            <v>BPJS TK No</v>
          </cell>
          <cell r="B53" t="str">
            <v>bpjs_tk</v>
          </cell>
        </row>
        <row r="54">
          <cell r="A54" t="str">
            <v>BPJS KES No</v>
          </cell>
          <cell r="B54" t="str">
            <v>bpjs_kes</v>
          </cell>
        </row>
        <row r="55">
          <cell r="A55" t="str">
            <v>STATUS BPJS Kesehatan</v>
          </cell>
          <cell r="B55" t="str">
            <v>status_bpjs_kes</v>
          </cell>
        </row>
        <row r="56">
          <cell r="A56" t="str">
            <v>KITAS NO</v>
          </cell>
          <cell r="B56" t="str">
            <v>kitas_no</v>
          </cell>
        </row>
        <row r="57">
          <cell r="A57" t="str">
            <v>PASSPORT ID</v>
          </cell>
          <cell r="B57" t="str">
            <v>passport_no</v>
          </cell>
        </row>
        <row r="58">
          <cell r="A58" t="str">
            <v>Travel In</v>
          </cell>
          <cell r="B58" t="str">
            <v>travel_in</v>
          </cell>
        </row>
        <row r="59">
          <cell r="A59" t="str">
            <v>Travel Out</v>
          </cell>
          <cell r="B59" t="str">
            <v>travel_out</v>
          </cell>
        </row>
        <row r="60">
          <cell r="A60" t="str">
            <v>Social Insurance No (alt BPJS TK)</v>
          </cell>
        </row>
        <row r="61">
          <cell r="A61" t="str">
            <v>BPJS Kesehatan No (alt BPJS KES)</v>
          </cell>
        </row>
        <row r="62">
          <cell r="A62" t="str">
            <v>Terminated Date</v>
          </cell>
          <cell r="B62" t="str">
            <v>terminated_date</v>
          </cell>
        </row>
        <row r="63">
          <cell r="A63" t="str">
            <v>Terminated Type</v>
          </cell>
          <cell r="B63" t="str">
            <v>terminated_type</v>
          </cell>
        </row>
        <row r="64">
          <cell r="A64" t="str">
            <v>Terminated Reason</v>
          </cell>
          <cell r="B64" t="str">
            <v>terminated_reason</v>
          </cell>
        </row>
        <row r="65">
          <cell r="A65" t="str">
            <v>Black List MTI</v>
          </cell>
          <cell r="B65" t="str">
            <v>blacklist_mti</v>
          </cell>
        </row>
        <row r="66">
          <cell r="A66" t="str">
            <v>Black List IMIP</v>
          </cell>
          <cell r="B66" t="str">
            <v>blacklist_imip</v>
          </cell>
        </row>
        <row r="67">
          <cell r="A67" t="str">
            <v>Office Email</v>
          </cell>
          <cell r="B67" t="str">
            <v>email (if personal email missing — confirm)</v>
          </cell>
        </row>
        <row r="68">
          <cell r="A68" t="str">
            <v>Locality Status</v>
          </cell>
          <cell r="B68" t="str">
            <v>locality_status</v>
          </cell>
        </row>
        <row r="69">
          <cell r="A69" t="str">
            <v>FPG No</v>
          </cell>
        </row>
        <row r="70">
          <cell r="A70" t="str">
            <v>OWLEXA No</v>
          </cell>
        </row>
        <row r="71">
          <cell r="A71" t="str">
            <v>Month of Birthday</v>
          </cell>
        </row>
        <row r="72">
          <cell r="A72" t="str">
            <v>ID CARD MTI</v>
          </cell>
        </row>
        <row r="73">
          <cell r="A73" t="str">
            <v>Field</v>
          </cell>
        </row>
        <row r="74">
          <cell r="A74" t="str">
            <v>Bank Code</v>
          </cell>
        </row>
        <row r="75">
          <cell r="A75" t="str">
            <v>ICBC Bank Account No.</v>
          </cell>
        </row>
        <row r="76">
          <cell r="A76" t="str">
            <v>Name as Pasport</v>
          </cell>
        </row>
        <row r="77">
          <cell r="A77" t="str">
            <v>Personal email</v>
          </cell>
          <cell r="B77" t="str">
            <v>email (if Email is empty — confirm rule)</v>
          </cell>
        </row>
        <row r="78">
          <cell r="A78" t="str">
            <v>Passport Expiry</v>
          </cell>
        </row>
        <row r="79">
          <cell r="A79" t="str">
            <v>KITAS Expiry</v>
          </cell>
        </row>
        <row r="80">
          <cell r="A80" t="str">
            <v>IMTA</v>
          </cell>
        </row>
        <row r="81">
          <cell r="A81" t="str">
            <v>RPTKA No</v>
          </cell>
        </row>
        <row r="82">
          <cell r="A82" t="str">
            <v>RPTKA Position</v>
          </cell>
        </row>
        <row r="83">
          <cell r="A83" t="str">
            <v>KITAS Address</v>
          </cell>
        </row>
        <row r="84">
          <cell r="A84" t="str">
            <v>Job Tittle (Based on KITAS)</v>
          </cell>
        </row>
        <row r="85">
          <cell r="A85" t="str">
            <v>ICBC Username</v>
          </cell>
        </row>
        <row r="86">
          <cell r="A86" t="str">
            <v>Batch</v>
          </cell>
        </row>
        <row r="87">
          <cell r="A87" t="str">
            <v>Cek Document / Note</v>
          </cell>
        </row>
        <row r="88">
          <cell r="A88" t="str">
            <v>Paspor (Checklist)</v>
          </cell>
        </row>
        <row r="89">
          <cell r="A89" t="str">
            <v>KITAS (Checklist)</v>
          </cell>
        </row>
        <row r="90">
          <cell r="A90" t="str">
            <v>IMTA (Checklist)</v>
          </cell>
        </row>
        <row r="91">
          <cell r="A91" t="str">
            <v>RPTKA (Checklist)</v>
          </cell>
        </row>
        <row r="92">
          <cell r="A92" t="str">
            <v>NPWP (Checklist)</v>
          </cell>
        </row>
        <row r="93">
          <cell r="A93" t="str">
            <v>BPJS-KES (Checklist)</v>
          </cell>
        </row>
        <row r="94">
          <cell r="A94" t="str">
            <v>BPJS-TK (Checklist)</v>
          </cell>
        </row>
        <row r="95">
          <cell r="A95" t="str">
            <v>Bank (Checklist)</v>
          </cell>
        </row>
        <row r="96">
          <cell r="A96" t="str">
            <v>Employee Status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</sheetNames>
    <sheetDataSet>
      <sheetData sheetId="0"/>
      <sheetData sheetId="1">
        <row r="1">
          <cell r="E1" t="str">
            <v>HR General</v>
          </cell>
          <cell r="F1" t="str">
            <v>Finance (Active)</v>
          </cell>
          <cell r="G1" t="str">
            <v>Admins</v>
          </cell>
        </row>
        <row r="2">
          <cell r="D2" t="str">
            <v>insurance_endorsement</v>
          </cell>
          <cell r="E2" t="str">
            <v>Confidential</v>
          </cell>
          <cell r="F2" t="str">
            <v>Confidential</v>
          </cell>
          <cell r="G2" t="str">
            <v>Confidential</v>
          </cell>
        </row>
        <row r="3">
          <cell r="D3" t="str">
            <v>insurance_owlexa</v>
          </cell>
          <cell r="E3" t="str">
            <v>Confidential</v>
          </cell>
          <cell r="F3" t="str">
            <v>Confidential</v>
          </cell>
          <cell r="G3" t="str">
            <v>Confidential</v>
          </cell>
        </row>
        <row r="4">
          <cell r="D4" t="str">
            <v>insurance_fpg</v>
          </cell>
          <cell r="E4" t="str">
            <v>Confidential</v>
          </cell>
          <cell r="F4" t="str">
            <v>Confidential</v>
          </cell>
          <cell r="G4" t="str">
            <v>Confidential</v>
          </cell>
        </row>
        <row r="5">
          <cell r="D5" t="str">
            <v>employee_id</v>
          </cell>
          <cell r="E5" t="str">
            <v>Public</v>
          </cell>
          <cell r="F5" t="str">
            <v>Public</v>
          </cell>
          <cell r="G5" t="str">
            <v>Public</v>
          </cell>
        </row>
        <row r="6">
          <cell r="D6" t="str">
            <v>imip_id</v>
          </cell>
          <cell r="E6" t="str">
            <v>Y</v>
          </cell>
          <cell r="F6" t="str">
            <v>Y</v>
          </cell>
        </row>
        <row r="7">
          <cell r="D7" t="str">
            <v>name</v>
          </cell>
          <cell r="E7" t="str">
            <v>Public</v>
          </cell>
          <cell r="F7" t="str">
            <v>Public</v>
          </cell>
          <cell r="G7" t="str">
            <v>Public</v>
          </cell>
        </row>
        <row r="8">
          <cell r="D8" t="str">
            <v>gender</v>
          </cell>
          <cell r="E8" t="str">
            <v>Public</v>
          </cell>
          <cell r="F8" t="str">
            <v>Public</v>
          </cell>
          <cell r="G8" t="str">
            <v>Public</v>
          </cell>
        </row>
        <row r="9">
          <cell r="D9" t="str">
            <v>place_of_birth</v>
          </cell>
          <cell r="E9" t="str">
            <v>Y</v>
          </cell>
        </row>
        <row r="10">
          <cell r="D10" t="str">
            <v>date_of_birth</v>
          </cell>
          <cell r="E10" t="str">
            <v>Y</v>
          </cell>
        </row>
        <row r="11">
          <cell r="D11" t="str">
            <v>age</v>
          </cell>
          <cell r="E11" t="str">
            <v>Y</v>
          </cell>
        </row>
        <row r="12">
          <cell r="D12" t="str">
            <v>marital_status</v>
          </cell>
          <cell r="E12" t="str">
            <v>Confidential</v>
          </cell>
          <cell r="F12" t="str">
            <v>Confidential</v>
          </cell>
          <cell r="G12" t="str">
            <v>Confidential</v>
          </cell>
        </row>
        <row r="13">
          <cell r="D13" t="str">
            <v>tax_status</v>
          </cell>
          <cell r="G13" t="str">
            <v>Y</v>
          </cell>
        </row>
        <row r="14">
          <cell r="D14" t="str">
            <v>spouse_name</v>
          </cell>
          <cell r="E14" t="str">
            <v>Confidential</v>
          </cell>
          <cell r="F14" t="str">
            <v>Confidential</v>
          </cell>
          <cell r="G14" t="str">
            <v>Confidential</v>
          </cell>
        </row>
        <row r="15">
          <cell r="D15" t="str">
            <v>child_name_1</v>
          </cell>
          <cell r="E15" t="str">
            <v>Confidential</v>
          </cell>
          <cell r="F15" t="str">
            <v>Confidential</v>
          </cell>
          <cell r="G15" t="str">
            <v>Confidential</v>
          </cell>
        </row>
        <row r="16">
          <cell r="D16" t="str">
            <v>child_name_2</v>
          </cell>
          <cell r="E16" t="str">
            <v>Confidential</v>
          </cell>
          <cell r="F16" t="str">
            <v>Confidential</v>
          </cell>
          <cell r="G16" t="str">
            <v>Confidential</v>
          </cell>
        </row>
        <row r="17">
          <cell r="D17" t="str">
            <v>child_name_3</v>
          </cell>
          <cell r="E17" t="str">
            <v>Confidential</v>
          </cell>
          <cell r="F17" t="str">
            <v>Confidential</v>
          </cell>
          <cell r="G17" t="str">
            <v>Confidential</v>
          </cell>
        </row>
        <row r="18">
          <cell r="D18" t="str">
            <v>religion</v>
          </cell>
          <cell r="E18" t="str">
            <v>Y</v>
          </cell>
          <cell r="G18" t="str">
            <v>Y</v>
          </cell>
        </row>
        <row r="19">
          <cell r="D19" t="str">
            <v>nationality</v>
          </cell>
          <cell r="E19" t="str">
            <v>Y</v>
          </cell>
          <cell r="G19" t="str">
            <v>Y</v>
          </cell>
        </row>
        <row r="20">
          <cell r="D20" t="str">
            <v>blood_type</v>
          </cell>
          <cell r="E20" t="str">
            <v>Y</v>
          </cell>
          <cell r="G20" t="str">
            <v>Y</v>
          </cell>
        </row>
        <row r="21">
          <cell r="D21" t="str">
            <v>phone_number</v>
          </cell>
          <cell r="E21" t="str">
            <v>Public</v>
          </cell>
          <cell r="F21" t="str">
            <v>Public</v>
          </cell>
          <cell r="G21" t="str">
            <v>Public</v>
          </cell>
        </row>
        <row r="22">
          <cell r="D22" t="str">
            <v>emergency_contact_name</v>
          </cell>
          <cell r="E22" t="str">
            <v>Y</v>
          </cell>
        </row>
        <row r="23">
          <cell r="D23" t="str">
            <v>emergency_contact_phone</v>
          </cell>
          <cell r="E23" t="str">
            <v>Y</v>
          </cell>
        </row>
        <row r="24">
          <cell r="D24" t="str">
            <v>email</v>
          </cell>
          <cell r="E24" t="str">
            <v>Public</v>
          </cell>
          <cell r="F24" t="str">
            <v>Public</v>
          </cell>
          <cell r="G24" t="str">
            <v>Public</v>
          </cell>
        </row>
        <row r="25">
          <cell r="D25" t="str">
            <v>kartu_keluarga_no</v>
          </cell>
          <cell r="E25" t="str">
            <v>Confidential</v>
          </cell>
          <cell r="F25" t="str">
            <v>Confidential</v>
          </cell>
          <cell r="G25" t="str">
            <v>Confidential</v>
          </cell>
        </row>
        <row r="26">
          <cell r="D26" t="str">
            <v>ktp_no</v>
          </cell>
          <cell r="E26" t="str">
            <v>Y</v>
          </cell>
        </row>
        <row r="27">
          <cell r="D27" t="str">
            <v>address</v>
          </cell>
          <cell r="E27" t="str">
            <v>Y</v>
          </cell>
          <cell r="F27" t="str">
            <v>Y</v>
          </cell>
        </row>
        <row r="28">
          <cell r="D28" t="str">
            <v>city</v>
          </cell>
          <cell r="E28" t="str">
            <v>Y</v>
          </cell>
        </row>
        <row r="29">
          <cell r="D29" t="str">
            <v>point_of_hire</v>
          </cell>
          <cell r="E29" t="str">
            <v>Public</v>
          </cell>
          <cell r="F29" t="str">
            <v>Public</v>
          </cell>
          <cell r="G29" t="str">
            <v>Public</v>
          </cell>
        </row>
        <row r="30">
          <cell r="D30" t="str">
            <v>point_of_origin</v>
          </cell>
          <cell r="E30" t="str">
            <v>Y</v>
          </cell>
        </row>
        <row r="31">
          <cell r="D31" t="str">
            <v>education</v>
          </cell>
          <cell r="E31" t="str">
            <v>Y</v>
          </cell>
        </row>
        <row r="32">
          <cell r="D32" t="str">
            <v>schedule_type</v>
          </cell>
          <cell r="E32" t="str">
            <v>Y</v>
          </cell>
          <cell r="G32" t="str">
            <v>Y</v>
          </cell>
        </row>
        <row r="33">
          <cell r="D33" t="str">
            <v>first_join_date_merdeka</v>
          </cell>
          <cell r="E33" t="str">
            <v>Y</v>
          </cell>
        </row>
        <row r="34">
          <cell r="D34" t="str">
            <v>transfer_merdeka</v>
          </cell>
          <cell r="E34" t="str">
            <v>Y</v>
          </cell>
        </row>
        <row r="35">
          <cell r="D35" t="str">
            <v>first_join_date</v>
          </cell>
          <cell r="E35" t="str">
            <v>Public</v>
          </cell>
          <cell r="F35" t="str">
            <v>Public</v>
          </cell>
          <cell r="G35" t="str">
            <v>Public</v>
          </cell>
        </row>
        <row r="36">
          <cell r="D36" t="str">
            <v>join_date</v>
          </cell>
          <cell r="E36" t="str">
            <v>Y</v>
          </cell>
          <cell r="G36" t="str">
            <v>Y</v>
          </cell>
        </row>
        <row r="37">
          <cell r="D37" t="str">
            <v>employment_status</v>
          </cell>
          <cell r="E37" t="str">
            <v>Public</v>
          </cell>
          <cell r="F37" t="str">
            <v>Public</v>
          </cell>
          <cell r="G37" t="str">
            <v>Public</v>
          </cell>
        </row>
        <row r="38">
          <cell r="D38" t="str">
            <v>end_contract</v>
          </cell>
          <cell r="E38" t="str">
            <v>Y</v>
          </cell>
          <cell r="G38" t="str">
            <v>Y</v>
          </cell>
        </row>
        <row r="39">
          <cell r="D39" t="str">
            <v>years_in_service</v>
          </cell>
          <cell r="E39" t="str">
            <v>Y</v>
          </cell>
          <cell r="G39" t="str">
            <v>Y</v>
          </cell>
        </row>
        <row r="40">
          <cell r="D40" t="str">
            <v>company_office</v>
          </cell>
          <cell r="E40" t="str">
            <v>Y</v>
          </cell>
          <cell r="F40" t="str">
            <v>Y</v>
          </cell>
        </row>
        <row r="41">
          <cell r="D41" t="str">
            <v>work_location</v>
          </cell>
          <cell r="E41" t="str">
            <v>Y</v>
          </cell>
          <cell r="F41" t="str">
            <v>Y</v>
          </cell>
        </row>
        <row r="42">
          <cell r="D42" t="str">
            <v>division</v>
          </cell>
          <cell r="E42" t="str">
            <v>Y</v>
          </cell>
          <cell r="F42" t="str">
            <v>Y</v>
          </cell>
        </row>
        <row r="43">
          <cell r="D43" t="str">
            <v>department</v>
          </cell>
          <cell r="E43" t="str">
            <v>Public</v>
          </cell>
          <cell r="F43" t="str">
            <v>Public</v>
          </cell>
          <cell r="G43" t="str">
            <v>Public</v>
          </cell>
        </row>
        <row r="44">
          <cell r="D44" t="str">
            <v>section</v>
          </cell>
          <cell r="E44" t="str">
            <v>Public</v>
          </cell>
          <cell r="F44" t="str">
            <v>Public</v>
          </cell>
          <cell r="G44" t="str">
            <v>Public</v>
          </cell>
        </row>
        <row r="45">
          <cell r="D45" t="str">
            <v>direct_report</v>
          </cell>
          <cell r="E45" t="str">
            <v>Y</v>
          </cell>
          <cell r="F45" t="str">
            <v>Y</v>
          </cell>
        </row>
        <row r="46">
          <cell r="D46" t="str">
            <v>job_title</v>
          </cell>
          <cell r="E46" t="str">
            <v>Public</v>
          </cell>
          <cell r="F46" t="str">
            <v>Public</v>
          </cell>
          <cell r="G46" t="str">
            <v>Public</v>
          </cell>
        </row>
        <row r="47">
          <cell r="D47" t="str">
            <v>grade</v>
          </cell>
          <cell r="E47" t="str">
            <v>Confidential</v>
          </cell>
          <cell r="F47" t="str">
            <v>Confidential</v>
          </cell>
          <cell r="G47" t="str">
            <v>Confidential</v>
          </cell>
        </row>
        <row r="48">
          <cell r="D48" t="str">
            <v>position_grade</v>
          </cell>
          <cell r="E48" t="str">
            <v>Public</v>
          </cell>
          <cell r="F48" t="str">
            <v>Public</v>
          </cell>
          <cell r="G48" t="str">
            <v>Public</v>
          </cell>
        </row>
        <row r="49">
          <cell r="D49" t="str">
            <v>group_job_title</v>
          </cell>
          <cell r="E49" t="str">
            <v>Y</v>
          </cell>
          <cell r="F49" t="str">
            <v>Y</v>
          </cell>
        </row>
        <row r="50">
          <cell r="D50" t="str">
            <v>bank_name</v>
          </cell>
          <cell r="F50" t="str">
            <v>Y</v>
          </cell>
        </row>
        <row r="51">
          <cell r="D51" t="str">
            <v>account_name</v>
          </cell>
          <cell r="F51" t="str">
            <v>Y</v>
          </cell>
        </row>
        <row r="52">
          <cell r="D52" t="str">
            <v>account_no</v>
          </cell>
          <cell r="F52" t="str">
            <v>Y</v>
          </cell>
        </row>
        <row r="53">
          <cell r="D53" t="str">
            <v>npwp</v>
          </cell>
          <cell r="F53" t="str">
            <v>Y</v>
          </cell>
        </row>
        <row r="54">
          <cell r="D54" t="str">
            <v>bpjs_tk</v>
          </cell>
          <cell r="G54" t="str">
            <v>Y</v>
          </cell>
        </row>
        <row r="55">
          <cell r="D55" t="str">
            <v>bpjs_kes</v>
          </cell>
          <cell r="G55" t="str">
            <v>Y</v>
          </cell>
        </row>
        <row r="56">
          <cell r="D56" t="str">
            <v>status_bpjs_kes</v>
          </cell>
          <cell r="E56" t="str">
            <v>Confidential</v>
          </cell>
          <cell r="F56" t="str">
            <v>Confidential</v>
          </cell>
          <cell r="G56" t="str">
            <v>Confidential</v>
          </cell>
        </row>
        <row r="57">
          <cell r="D57" t="str">
            <v>travel_in</v>
          </cell>
          <cell r="E57" t="str">
            <v>Confidential</v>
          </cell>
          <cell r="F57" t="str">
            <v>Confidential</v>
          </cell>
          <cell r="G57" t="str">
            <v>Confidential</v>
          </cell>
        </row>
        <row r="58">
          <cell r="D58" t="str">
            <v>travel_out</v>
          </cell>
          <cell r="E58" t="str">
            <v>Confidential</v>
          </cell>
          <cell r="F58" t="str">
            <v>Confidential</v>
          </cell>
          <cell r="G58" t="str">
            <v>Confidential</v>
          </cell>
        </row>
        <row r="59">
          <cell r="D59" t="str">
            <v>terminated_date</v>
          </cell>
          <cell r="E59" t="str">
            <v>Y</v>
          </cell>
          <cell r="G59" t="str">
            <v>Y</v>
          </cell>
        </row>
        <row r="60">
          <cell r="D60" t="str">
            <v>terminated_type</v>
          </cell>
          <cell r="E60" t="str">
            <v>Y</v>
          </cell>
        </row>
        <row r="61">
          <cell r="D61" t="str">
            <v>terminated_reason</v>
          </cell>
          <cell r="E61" t="str">
            <v>Y</v>
          </cell>
        </row>
        <row r="62">
          <cell r="D62" t="str">
            <v>blacklist_mti</v>
          </cell>
          <cell r="E62" t="str">
            <v>Y</v>
          </cell>
        </row>
        <row r="63">
          <cell r="D63" t="str">
            <v>blacklist_imip</v>
          </cell>
          <cell r="E63" t="str">
            <v>Y</v>
          </cell>
        </row>
        <row r="64">
          <cell r="D64" t="str">
            <v>kitas_no</v>
          </cell>
          <cell r="E64" t="str">
            <v>Confidential</v>
          </cell>
          <cell r="F64" t="str">
            <v>Confidential</v>
          </cell>
          <cell r="G64" t="str">
            <v>Confidential</v>
          </cell>
        </row>
        <row r="65">
          <cell r="D65" t="str">
            <v>passport_no</v>
          </cell>
          <cell r="E65" t="str">
            <v>Confidential</v>
          </cell>
          <cell r="F65" t="str">
            <v>Confidential</v>
          </cell>
          <cell r="G65" t="str">
            <v>Confidential</v>
          </cell>
        </row>
        <row r="66">
          <cell r="D66" t="str">
            <v>status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ined_Columns"/>
      <sheetName val="Combined_Columns_All"/>
      <sheetName val="Combined_Data_Wide"/>
      <sheetName val="employee_bank"/>
      <sheetName val="employee_contact"/>
      <sheetName val="employee_core"/>
      <sheetName val="employee_employment"/>
      <sheetName val="employee_insurance"/>
      <sheetName val="employee_onboard"/>
      <sheetName val="employee_travel"/>
    </sheetNames>
    <sheetDataSet>
      <sheetData sheetId="0">
        <row r="1">
          <cell r="A1" t="str">
            <v>column</v>
          </cell>
          <cell r="B1" t="str">
            <v>tables</v>
          </cell>
          <cell r="C1" t="str">
            <v>Exist?</v>
          </cell>
          <cell r="D1" t="str">
            <v>occurrences</v>
          </cell>
          <cell r="E1" t="str">
            <v>data_types</v>
          </cell>
        </row>
        <row r="2">
          <cell r="A2" t="str">
            <v>account_name</v>
          </cell>
          <cell r="B2" t="str">
            <v>employee_bank</v>
          </cell>
          <cell r="C2" t="str">
            <v>account_name</v>
          </cell>
          <cell r="D2">
            <v>1</v>
          </cell>
          <cell r="E2" t="str">
            <v>varchar</v>
          </cell>
        </row>
        <row r="3">
          <cell r="A3" t="str">
            <v>account_no</v>
          </cell>
          <cell r="B3" t="str">
            <v>employee_bank</v>
          </cell>
          <cell r="C3" t="str">
            <v>account_no</v>
          </cell>
          <cell r="D3">
            <v>1</v>
          </cell>
          <cell r="E3" t="str">
            <v>varchar</v>
          </cell>
        </row>
        <row r="4">
          <cell r="A4" t="str">
            <v>address</v>
          </cell>
          <cell r="B4" t="str">
            <v>employee_contact</v>
          </cell>
          <cell r="C4" t="str">
            <v>address</v>
          </cell>
          <cell r="D4">
            <v>1</v>
          </cell>
          <cell r="E4" t="str">
            <v>varchar</v>
          </cell>
        </row>
        <row r="5">
          <cell r="A5" t="str">
            <v>age</v>
          </cell>
          <cell r="B5" t="str">
            <v>employee_core</v>
          </cell>
          <cell r="C5" t="str">
            <v>age</v>
          </cell>
          <cell r="D5">
            <v>1</v>
          </cell>
          <cell r="E5" t="str">
            <v>int</v>
          </cell>
        </row>
        <row r="6">
          <cell r="A6" t="str">
            <v>bank_name</v>
          </cell>
          <cell r="B6" t="str">
            <v>employee_bank</v>
          </cell>
          <cell r="C6" t="str">
            <v>bank_name</v>
          </cell>
          <cell r="D6">
            <v>1</v>
          </cell>
          <cell r="E6" t="str">
            <v>varchar</v>
          </cell>
        </row>
        <row r="7">
          <cell r="A7" t="str">
            <v>blacklist_imip</v>
          </cell>
          <cell r="B7" t="str">
            <v>employee_employment</v>
          </cell>
          <cell r="C7" t="str">
            <v>blacklist_imip</v>
          </cell>
          <cell r="D7">
            <v>1</v>
          </cell>
          <cell r="E7" t="str">
            <v>varchar</v>
          </cell>
        </row>
        <row r="8">
          <cell r="A8" t="str">
            <v>blacklist_mti</v>
          </cell>
          <cell r="B8" t="str">
            <v>employee_employment</v>
          </cell>
          <cell r="C8" t="str">
            <v>blacklist_mti</v>
          </cell>
          <cell r="D8">
            <v>1</v>
          </cell>
          <cell r="E8" t="str">
            <v>varchar</v>
          </cell>
        </row>
        <row r="9">
          <cell r="A9" t="str">
            <v>blood_type</v>
          </cell>
          <cell r="B9" t="str">
            <v>employee_core</v>
          </cell>
          <cell r="C9" t="str">
            <v>blood_type</v>
          </cell>
          <cell r="D9">
            <v>1</v>
          </cell>
          <cell r="E9" t="str">
            <v>varchar</v>
          </cell>
        </row>
        <row r="10">
          <cell r="A10" t="str">
            <v>bpjs_kes</v>
          </cell>
          <cell r="B10" t="str">
            <v>employee_insurance</v>
          </cell>
          <cell r="C10" t="str">
            <v>bpjs_kes</v>
          </cell>
          <cell r="D10">
            <v>1</v>
          </cell>
          <cell r="E10" t="str">
            <v>varchar</v>
          </cell>
        </row>
        <row r="11">
          <cell r="A11" t="str">
            <v>bpjs_tk</v>
          </cell>
          <cell r="B11" t="str">
            <v>employee_insurance</v>
          </cell>
          <cell r="C11" t="str">
            <v>bpjs_tk</v>
          </cell>
          <cell r="D11">
            <v>1</v>
          </cell>
          <cell r="E11" t="str">
            <v>varchar</v>
          </cell>
        </row>
        <row r="12">
          <cell r="A12" t="str">
            <v>child_name_1</v>
          </cell>
          <cell r="B12" t="str">
            <v>employee_contact</v>
          </cell>
          <cell r="C12" t="str">
            <v>child_name_1</v>
          </cell>
          <cell r="D12">
            <v>1</v>
          </cell>
          <cell r="E12" t="str">
            <v>varchar</v>
          </cell>
        </row>
        <row r="13">
          <cell r="A13" t="str">
            <v>child_name_2</v>
          </cell>
          <cell r="B13" t="str">
            <v>employee_contact</v>
          </cell>
          <cell r="C13" t="str">
            <v>child_name_2</v>
          </cell>
          <cell r="D13">
            <v>1</v>
          </cell>
          <cell r="E13" t="str">
            <v>varchar</v>
          </cell>
        </row>
        <row r="14">
          <cell r="A14" t="str">
            <v>child_name_3</v>
          </cell>
          <cell r="B14" t="str">
            <v>employee_contact</v>
          </cell>
          <cell r="C14" t="str">
            <v>child_name_3</v>
          </cell>
          <cell r="D14">
            <v>1</v>
          </cell>
          <cell r="E14" t="str">
            <v>varchar</v>
          </cell>
        </row>
        <row r="15">
          <cell r="A15" t="str">
            <v>city</v>
          </cell>
          <cell r="B15" t="str">
            <v>employee_contact</v>
          </cell>
          <cell r="C15" t="str">
            <v>city</v>
          </cell>
          <cell r="D15">
            <v>1</v>
          </cell>
          <cell r="E15" t="str">
            <v>varchar</v>
          </cell>
        </row>
        <row r="16">
          <cell r="A16" t="str">
            <v>company_office</v>
          </cell>
          <cell r="B16" t="str">
            <v>employee_employment</v>
          </cell>
          <cell r="C16" t="str">
            <v>company_office</v>
          </cell>
          <cell r="D16">
            <v>1</v>
          </cell>
          <cell r="E16" t="str">
            <v>varchar</v>
          </cell>
        </row>
        <row r="17">
          <cell r="A17" t="str">
            <v>created_at</v>
          </cell>
          <cell r="B17" t="str">
            <v>employee_contact, employee_core, employee_onboard</v>
          </cell>
          <cell r="C17" t="e">
            <v>#N/A</v>
          </cell>
          <cell r="D17">
            <v>3</v>
          </cell>
          <cell r="E17" t="str">
            <v>datetime2</v>
          </cell>
        </row>
        <row r="18">
          <cell r="A18" t="str">
            <v>created_by</v>
          </cell>
          <cell r="B18" t="str">
            <v>employee_contact, employee_core, employee_onboard</v>
          </cell>
          <cell r="C18" t="e">
            <v>#N/A</v>
          </cell>
          <cell r="D18">
            <v>3</v>
          </cell>
          <cell r="E18" t="str">
            <v>nvarchar</v>
          </cell>
        </row>
        <row r="19">
          <cell r="A19" t="str">
            <v>date_of_birth</v>
          </cell>
          <cell r="B19" t="str">
            <v>employee_core</v>
          </cell>
          <cell r="C19" t="str">
            <v>date_of_birth</v>
          </cell>
          <cell r="D19">
            <v>1</v>
          </cell>
          <cell r="E19" t="str">
            <v>date</v>
          </cell>
        </row>
        <row r="20">
          <cell r="A20" t="str">
            <v>department</v>
          </cell>
          <cell r="B20" t="str">
            <v>employee_employment</v>
          </cell>
          <cell r="C20" t="str">
            <v>department</v>
          </cell>
          <cell r="D20">
            <v>1</v>
          </cell>
          <cell r="E20" t="str">
            <v>varchar</v>
          </cell>
        </row>
        <row r="21">
          <cell r="A21" t="str">
            <v>direct_report</v>
          </cell>
          <cell r="B21" t="str">
            <v>employee_employment</v>
          </cell>
          <cell r="C21" t="str">
            <v>direct_report</v>
          </cell>
          <cell r="D21">
            <v>1</v>
          </cell>
          <cell r="E21" t="str">
            <v>varchar</v>
          </cell>
        </row>
        <row r="22">
          <cell r="A22" t="str">
            <v>division</v>
          </cell>
          <cell r="B22" t="str">
            <v>employee_employment</v>
          </cell>
          <cell r="C22" t="str">
            <v>division</v>
          </cell>
          <cell r="D22">
            <v>1</v>
          </cell>
          <cell r="E22" t="str">
            <v>varchar</v>
          </cell>
        </row>
        <row r="23">
          <cell r="A23" t="str">
            <v>education</v>
          </cell>
          <cell r="B23" t="str">
            <v>employee_core</v>
          </cell>
          <cell r="C23" t="str">
            <v>education</v>
          </cell>
          <cell r="D23">
            <v>1</v>
          </cell>
          <cell r="E23" t="str">
            <v>varchar</v>
          </cell>
        </row>
        <row r="24">
          <cell r="A24" t="str">
            <v>email</v>
          </cell>
          <cell r="B24" t="str">
            <v>employee_contact</v>
          </cell>
          <cell r="C24" t="str">
            <v>email</v>
          </cell>
          <cell r="D24">
            <v>1</v>
          </cell>
          <cell r="E24" t="str">
            <v>varchar</v>
          </cell>
        </row>
        <row r="25">
          <cell r="A25" t="str">
            <v>emergency_contact_name</v>
          </cell>
          <cell r="B25" t="str">
            <v>employee_contact</v>
          </cell>
          <cell r="C25" t="str">
            <v>emergency_contact_name</v>
          </cell>
          <cell r="D25">
            <v>1</v>
          </cell>
          <cell r="E25" t="str">
            <v>varchar</v>
          </cell>
        </row>
        <row r="26">
          <cell r="A26" t="str">
            <v>emergency_contact_phone</v>
          </cell>
          <cell r="B26" t="str">
            <v>employee_contact</v>
          </cell>
          <cell r="C26" t="str">
            <v>emergency_contact_phone</v>
          </cell>
          <cell r="D26">
            <v>1</v>
          </cell>
          <cell r="E26" t="str">
            <v>varchar</v>
          </cell>
        </row>
        <row r="27">
          <cell r="A27" t="str">
            <v>employee_id</v>
          </cell>
          <cell r="B27" t="str">
            <v>employee_bank, employee_contact, employee_core, employee_employment, employee_insurance, employee_onboard, employee_travel</v>
          </cell>
          <cell r="C27" t="str">
            <v>employee_id</v>
          </cell>
          <cell r="D27">
            <v>7</v>
          </cell>
          <cell r="E27" t="str">
            <v>varchar</v>
          </cell>
        </row>
        <row r="28">
          <cell r="A28" t="str">
            <v>employment_status</v>
          </cell>
          <cell r="B28" t="str">
            <v>employee_onboard</v>
          </cell>
          <cell r="C28" t="str">
            <v>employment_status</v>
          </cell>
          <cell r="D28">
            <v>1</v>
          </cell>
          <cell r="E28" t="str">
            <v>varchar</v>
          </cell>
        </row>
        <row r="29">
          <cell r="A29" t="str">
            <v>end_contract</v>
          </cell>
          <cell r="B29" t="str">
            <v>employee_onboard</v>
          </cell>
          <cell r="C29" t="str">
            <v>end_contract</v>
          </cell>
          <cell r="D29">
            <v>1</v>
          </cell>
          <cell r="E29" t="str">
            <v>date</v>
          </cell>
        </row>
        <row r="30">
          <cell r="A30" t="str">
            <v>first_join_date</v>
          </cell>
          <cell r="B30" t="str">
            <v>employee_onboard</v>
          </cell>
          <cell r="C30" t="str">
            <v>first_join_date</v>
          </cell>
          <cell r="D30">
            <v>1</v>
          </cell>
          <cell r="E30" t="str">
            <v>date</v>
          </cell>
        </row>
        <row r="31">
          <cell r="A31" t="str">
            <v>first_join_date_merdeka</v>
          </cell>
          <cell r="B31" t="str">
            <v>employee_onboard</v>
          </cell>
          <cell r="C31" t="str">
            <v>first_join_date_merdeka</v>
          </cell>
          <cell r="D31">
            <v>1</v>
          </cell>
          <cell r="E31" t="str">
            <v>date</v>
          </cell>
        </row>
        <row r="32">
          <cell r="A32" t="str">
            <v>gender</v>
          </cell>
          <cell r="B32" t="str">
            <v>employee_core</v>
          </cell>
          <cell r="C32" t="str">
            <v>gender</v>
          </cell>
          <cell r="D32">
            <v>1</v>
          </cell>
          <cell r="E32" t="str">
            <v>char</v>
          </cell>
        </row>
        <row r="33">
          <cell r="A33" t="str">
            <v>grade</v>
          </cell>
          <cell r="B33" t="str">
            <v>employee_employment</v>
          </cell>
          <cell r="C33" t="str">
            <v>grade</v>
          </cell>
          <cell r="D33">
            <v>1</v>
          </cell>
          <cell r="E33" t="str">
            <v>varchar</v>
          </cell>
        </row>
        <row r="34">
          <cell r="A34" t="str">
            <v>group_job_title</v>
          </cell>
          <cell r="B34" t="str">
            <v>employee_employment</v>
          </cell>
          <cell r="C34" t="str">
            <v>group_job_title</v>
          </cell>
          <cell r="D34">
            <v>1</v>
          </cell>
          <cell r="E34" t="str">
            <v>varchar</v>
          </cell>
        </row>
        <row r="35">
          <cell r="A35" t="str">
            <v>imip_id</v>
          </cell>
          <cell r="B35" t="str">
            <v>employee_core</v>
          </cell>
          <cell r="C35" t="str">
            <v>imip_id</v>
          </cell>
          <cell r="D35">
            <v>1</v>
          </cell>
          <cell r="E35" t="str">
            <v>varchar</v>
          </cell>
        </row>
        <row r="36">
          <cell r="A36" t="str">
            <v>insurance_endorsement</v>
          </cell>
          <cell r="B36" t="str">
            <v>employee_insurance</v>
          </cell>
          <cell r="C36" t="str">
            <v>insurance_endorsement</v>
          </cell>
          <cell r="D36">
            <v>1</v>
          </cell>
          <cell r="E36" t="str">
            <v>varchar</v>
          </cell>
        </row>
        <row r="37">
          <cell r="A37" t="str">
            <v>insurance_fpg</v>
          </cell>
          <cell r="B37" t="str">
            <v>employee_insurance</v>
          </cell>
          <cell r="C37" t="str">
            <v>insurance_fpg</v>
          </cell>
          <cell r="D37">
            <v>1</v>
          </cell>
          <cell r="E37" t="str">
            <v>varchar</v>
          </cell>
        </row>
        <row r="38">
          <cell r="A38" t="str">
            <v>insurance_owlexa</v>
          </cell>
          <cell r="B38" t="str">
            <v>employee_insurance</v>
          </cell>
          <cell r="C38" t="str">
            <v>insurance_owlexa</v>
          </cell>
          <cell r="D38">
            <v>1</v>
          </cell>
          <cell r="E38" t="str">
            <v>varchar</v>
          </cell>
        </row>
        <row r="39">
          <cell r="A39" t="str">
            <v>job_title</v>
          </cell>
          <cell r="B39" t="str">
            <v>employee_employment</v>
          </cell>
          <cell r="C39" t="str">
            <v>job_title</v>
          </cell>
          <cell r="D39">
            <v>1</v>
          </cell>
          <cell r="E39" t="str">
            <v>varchar</v>
          </cell>
        </row>
        <row r="40">
          <cell r="A40" t="str">
            <v>join_date</v>
          </cell>
          <cell r="B40" t="str">
            <v>employee_onboard</v>
          </cell>
          <cell r="C40" t="str">
            <v>join_date</v>
          </cell>
          <cell r="D40">
            <v>1</v>
          </cell>
          <cell r="E40" t="str">
            <v>date</v>
          </cell>
        </row>
        <row r="41">
          <cell r="A41" t="str">
            <v>kartu_keluarga_no</v>
          </cell>
          <cell r="B41" t="str">
            <v>employee_core</v>
          </cell>
          <cell r="C41" t="str">
            <v>kartu_keluarga_no</v>
          </cell>
          <cell r="D41">
            <v>1</v>
          </cell>
          <cell r="E41" t="str">
            <v>varchar</v>
          </cell>
        </row>
        <row r="42">
          <cell r="A42" t="str">
            <v>kitas_no</v>
          </cell>
          <cell r="B42" t="str">
            <v>employee_travel</v>
          </cell>
          <cell r="C42" t="str">
            <v>kitas_no</v>
          </cell>
          <cell r="D42">
            <v>1</v>
          </cell>
          <cell r="E42" t="str">
            <v>varchar</v>
          </cell>
        </row>
        <row r="43">
          <cell r="A43" t="str">
            <v>ktp_no</v>
          </cell>
          <cell r="B43" t="str">
            <v>employee_core</v>
          </cell>
          <cell r="C43" t="str">
            <v>ktp_no</v>
          </cell>
          <cell r="D43">
            <v>1</v>
          </cell>
          <cell r="E43" t="str">
            <v>varchar</v>
          </cell>
        </row>
        <row r="44">
          <cell r="A44" t="str">
            <v>marital_status</v>
          </cell>
          <cell r="B44" t="str">
            <v>employee_core</v>
          </cell>
          <cell r="C44" t="str">
            <v>marital_status</v>
          </cell>
          <cell r="D44">
            <v>1</v>
          </cell>
          <cell r="E44" t="str">
            <v>varchar</v>
          </cell>
        </row>
        <row r="45">
          <cell r="A45" t="str">
            <v>name</v>
          </cell>
          <cell r="B45" t="str">
            <v>employee_core</v>
          </cell>
          <cell r="C45" t="str">
            <v>name</v>
          </cell>
          <cell r="D45">
            <v>1</v>
          </cell>
          <cell r="E45" t="str">
            <v>varchar</v>
          </cell>
        </row>
        <row r="46">
          <cell r="A46" t="str">
            <v>nationality</v>
          </cell>
          <cell r="B46" t="str">
            <v>employee_core</v>
          </cell>
          <cell r="C46" t="str">
            <v>nationality</v>
          </cell>
          <cell r="D46">
            <v>1</v>
          </cell>
          <cell r="E46" t="str">
            <v>varchar</v>
          </cell>
        </row>
        <row r="47">
          <cell r="A47" t="str">
            <v>npwp</v>
          </cell>
          <cell r="B47" t="str">
            <v>employee_core</v>
          </cell>
          <cell r="C47" t="str">
            <v>npwp</v>
          </cell>
          <cell r="D47">
            <v>1</v>
          </cell>
          <cell r="E47" t="str">
            <v>varchar</v>
          </cell>
        </row>
        <row r="48">
          <cell r="A48" t="str">
            <v>passport_no</v>
          </cell>
          <cell r="B48" t="str">
            <v>employee_travel</v>
          </cell>
          <cell r="C48" t="str">
            <v>passport_no</v>
          </cell>
          <cell r="D48">
            <v>1</v>
          </cell>
          <cell r="E48" t="str">
            <v>varchar</v>
          </cell>
        </row>
        <row r="49">
          <cell r="A49" t="str">
            <v>phone_number</v>
          </cell>
          <cell r="B49" t="str">
            <v>employee_contact</v>
          </cell>
          <cell r="C49" t="str">
            <v>phone_number</v>
          </cell>
          <cell r="D49">
            <v>1</v>
          </cell>
          <cell r="E49" t="str">
            <v>varchar</v>
          </cell>
        </row>
        <row r="50">
          <cell r="A50" t="str">
            <v>place_of_birth</v>
          </cell>
          <cell r="B50" t="str">
            <v>employee_core</v>
          </cell>
          <cell r="C50" t="str">
            <v>place_of_birth</v>
          </cell>
          <cell r="D50">
            <v>1</v>
          </cell>
          <cell r="E50" t="str">
            <v>varchar</v>
          </cell>
        </row>
        <row r="51">
          <cell r="A51" t="str">
            <v>point_of_hire</v>
          </cell>
          <cell r="B51" t="str">
            <v>employee_onboard</v>
          </cell>
          <cell r="C51" t="str">
            <v>point_of_hire</v>
          </cell>
          <cell r="D51">
            <v>1</v>
          </cell>
          <cell r="E51" t="str">
            <v>varchar</v>
          </cell>
        </row>
        <row r="52">
          <cell r="A52" t="str">
            <v>point_of_origin</v>
          </cell>
          <cell r="B52" t="str">
            <v>employee_onboard</v>
          </cell>
          <cell r="C52" t="str">
            <v>point_of_origin</v>
          </cell>
          <cell r="D52">
            <v>1</v>
          </cell>
          <cell r="E52" t="str">
            <v>varchar</v>
          </cell>
        </row>
        <row r="53">
          <cell r="A53" t="str">
            <v>position_grade</v>
          </cell>
          <cell r="B53" t="str">
            <v>employee_employment</v>
          </cell>
          <cell r="C53" t="str">
            <v>position_grade</v>
          </cell>
          <cell r="D53">
            <v>1</v>
          </cell>
          <cell r="E53" t="str">
            <v>varchar</v>
          </cell>
        </row>
        <row r="54">
          <cell r="A54" t="str">
            <v>religion</v>
          </cell>
          <cell r="B54" t="str">
            <v>employee_core</v>
          </cell>
          <cell r="C54" t="str">
            <v>religion</v>
          </cell>
          <cell r="D54">
            <v>1</v>
          </cell>
          <cell r="E54" t="str">
            <v>varchar</v>
          </cell>
        </row>
        <row r="55">
          <cell r="A55" t="str">
            <v>schedule_type</v>
          </cell>
          <cell r="B55" t="str">
            <v>employee_onboard</v>
          </cell>
          <cell r="C55" t="str">
            <v>schedule_type</v>
          </cell>
          <cell r="D55">
            <v>1</v>
          </cell>
          <cell r="E55" t="str">
            <v>varchar</v>
          </cell>
        </row>
        <row r="56">
          <cell r="A56" t="str">
            <v>section</v>
          </cell>
          <cell r="B56" t="str">
            <v>employee_employment</v>
          </cell>
          <cell r="C56" t="str">
            <v>section</v>
          </cell>
          <cell r="D56">
            <v>1</v>
          </cell>
          <cell r="E56" t="str">
            <v>varchar</v>
          </cell>
        </row>
        <row r="57">
          <cell r="A57" t="str">
            <v>spouse_name</v>
          </cell>
          <cell r="B57" t="str">
            <v>employee_contact</v>
          </cell>
          <cell r="C57" t="str">
            <v>spouse_name</v>
          </cell>
          <cell r="D57">
            <v>1</v>
          </cell>
          <cell r="E57" t="str">
            <v>varchar</v>
          </cell>
        </row>
        <row r="58">
          <cell r="A58" t="str">
            <v>status</v>
          </cell>
          <cell r="B58" t="str">
            <v>employee_employment</v>
          </cell>
          <cell r="C58" t="str">
            <v>status</v>
          </cell>
          <cell r="D58">
            <v>1</v>
          </cell>
          <cell r="E58" t="str">
            <v>varchar</v>
          </cell>
        </row>
        <row r="59">
          <cell r="A59" t="str">
            <v>status_bpjs_kes</v>
          </cell>
          <cell r="B59" t="str">
            <v>employee_insurance</v>
          </cell>
          <cell r="C59" t="str">
            <v>status_bpjs_kes</v>
          </cell>
          <cell r="D59">
            <v>1</v>
          </cell>
          <cell r="E59" t="str">
            <v>varchar</v>
          </cell>
        </row>
        <row r="60">
          <cell r="A60" t="str">
            <v>tax_status</v>
          </cell>
          <cell r="B60" t="str">
            <v>employee_core</v>
          </cell>
          <cell r="C60" t="str">
            <v>tax_status</v>
          </cell>
          <cell r="D60">
            <v>1</v>
          </cell>
          <cell r="E60" t="str">
            <v>varchar</v>
          </cell>
        </row>
        <row r="61">
          <cell r="A61" t="str">
            <v>terminated_date</v>
          </cell>
          <cell r="B61" t="str">
            <v>employee_employment</v>
          </cell>
          <cell r="C61" t="str">
            <v>terminated_date</v>
          </cell>
          <cell r="D61">
            <v>1</v>
          </cell>
          <cell r="E61" t="str">
            <v>date</v>
          </cell>
        </row>
        <row r="62">
          <cell r="A62" t="str">
            <v>terminated_reason</v>
          </cell>
          <cell r="B62" t="str">
            <v>employee_employment</v>
          </cell>
          <cell r="C62" t="str">
            <v>terminated_reason</v>
          </cell>
          <cell r="D62">
            <v>1</v>
          </cell>
          <cell r="E62" t="str">
            <v>varchar</v>
          </cell>
        </row>
        <row r="63">
          <cell r="A63" t="str">
            <v>terminated_type</v>
          </cell>
          <cell r="B63" t="str">
            <v>employee_employment</v>
          </cell>
          <cell r="C63" t="str">
            <v>terminated_type</v>
          </cell>
          <cell r="D63">
            <v>1</v>
          </cell>
          <cell r="E63" t="str">
            <v>varchar</v>
          </cell>
        </row>
        <row r="64">
          <cell r="A64" t="str">
            <v>transfer_merdeka</v>
          </cell>
          <cell r="B64" t="str">
            <v>employee_onboard</v>
          </cell>
          <cell r="C64" t="str">
            <v>transfer_merdeka</v>
          </cell>
          <cell r="D64">
            <v>1</v>
          </cell>
          <cell r="E64" t="str">
            <v>date</v>
          </cell>
        </row>
        <row r="65">
          <cell r="A65" t="str">
            <v>travel_in</v>
          </cell>
          <cell r="B65" t="str">
            <v>employee_travel</v>
          </cell>
          <cell r="C65" t="str">
            <v>travel_in</v>
          </cell>
          <cell r="D65">
            <v>1</v>
          </cell>
          <cell r="E65" t="str">
            <v>date</v>
          </cell>
        </row>
        <row r="66">
          <cell r="A66" t="str">
            <v>travel_out</v>
          </cell>
          <cell r="B66" t="str">
            <v>employee_travel</v>
          </cell>
          <cell r="C66" t="str">
            <v>travel_out</v>
          </cell>
          <cell r="D66">
            <v>1</v>
          </cell>
          <cell r="E66" t="str">
            <v>date</v>
          </cell>
        </row>
        <row r="67">
          <cell r="A67" t="str">
            <v>updated_at</v>
          </cell>
          <cell r="B67" t="str">
            <v>employee_contact, employee_core, employee_onboard</v>
          </cell>
          <cell r="C67" t="e">
            <v>#N/A</v>
          </cell>
          <cell r="D67">
            <v>3</v>
          </cell>
          <cell r="E67" t="str">
            <v>datetime2</v>
          </cell>
        </row>
        <row r="68">
          <cell r="A68" t="str">
            <v>updated_by</v>
          </cell>
          <cell r="B68" t="str">
            <v>employee_contact, employee_core, employee_onboard</v>
          </cell>
          <cell r="C68" t="e">
            <v>#N/A</v>
          </cell>
          <cell r="D68">
            <v>3</v>
          </cell>
          <cell r="E68" t="str">
            <v>nvarchar</v>
          </cell>
        </row>
        <row r="69">
          <cell r="A69" t="str">
            <v>version_number</v>
          </cell>
          <cell r="B69" t="str">
            <v>employee_contact, employee_core, employee_onboard</v>
          </cell>
          <cell r="C69" t="e">
            <v>#N/A</v>
          </cell>
          <cell r="D69">
            <v>3</v>
          </cell>
          <cell r="E69" t="str">
            <v>int</v>
          </cell>
        </row>
        <row r="70">
          <cell r="A70" t="str">
            <v>work_location</v>
          </cell>
          <cell r="B70" t="str">
            <v>employee_employment</v>
          </cell>
          <cell r="C70" t="str">
            <v>work_location</v>
          </cell>
          <cell r="D70">
            <v>1</v>
          </cell>
          <cell r="E70" t="str">
            <v>varchar</v>
          </cell>
        </row>
        <row r="71">
          <cell r="A71" t="str">
            <v>years_in_service</v>
          </cell>
          <cell r="B71" t="str">
            <v>employee_onboard</v>
          </cell>
          <cell r="C71" t="str">
            <v>years_in_service</v>
          </cell>
          <cell r="D71">
            <v>1</v>
          </cell>
          <cell r="E71" t="str">
            <v>int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513D1-27A8-4ABB-A7B9-745E03D0DB31}" name="Table2" displayName="Table2" ref="A1:K98" totalsRowShown="0" headerRowDxfId="13" dataDxfId="12" tableBorderDxfId="11">
  <autoFilter ref="A1:K98" xr:uid="{CBB4A28B-B8F0-48AD-BE35-5AABDB62F63F}"/>
  <tableColumns count="11">
    <tableColumn id="1" xr3:uid="{0856A74C-BCE9-4D05-9465-F1423C8562E7}" name="Column Name" dataDxfId="10"/>
    <tableColumn id="2" xr3:uid="{3655FBC6-CECA-437B-AC7B-0B19DE431B9D}" name="Mapping to Existing DB Schema" dataDxfId="9"/>
    <tableColumn id="8" xr3:uid="{F7E606F7-0090-47B8-823E-48C7D89958A5}" name="Data Type" dataDxfId="8">
      <calculatedColumnFormula>VLOOKUP([1]!Table2[[#This Row],[Column Name]],'[1]Database Schema Proposed V2'!$A:$H,8,FALSE)</calculatedColumnFormula>
    </tableColumn>
    <tableColumn id="11" xr3:uid="{B06D13B1-4D1E-423B-B2C7-FE52BDACA08F}" name="Data Example" dataDxfId="7"/>
    <tableColumn id="3" xr3:uid="{7E49C79A-C56E-47A6-B6C3-01793AC49709}" name="Indonesia" dataDxfId="6"/>
    <tableColumn id="4" xr3:uid="{5CB00D89-619B-468D-AAF0-92E2DA88C7B7}" name="Expat" dataDxfId="5"/>
    <tableColumn id="5" xr3:uid="{2846F6C6-A16F-4C88-BC39-40883D4B009A}" name="HR" dataDxfId="4"/>
    <tableColumn id="6" xr3:uid="{8FEF0DAF-BD7F-4725-A204-ACBA08F17DCE}" name="Finance" dataDxfId="3"/>
    <tableColumn id="7" xr3:uid="{F43C464A-D1F2-42E8-9984-098E2D815E23}" name="All Admin" dataDxfId="2"/>
    <tableColumn id="9" xr3:uid="{03E50C7C-4959-4307-806A-E83CB96F77DB}" name="IS New" dataDxfId="1"/>
    <tableColumn id="10" xr3:uid="{3D749C21-6EE3-4CCC-8ECA-DB5AF4431170}" name="Table Name" dataDxfId="0">
      <calculatedColumnFormula>VLOOKUP([1]!Table2[[#This Row],[Mapping to Existing DB Schema]],'[1]Database Schema Proposed V2'!$Q:$R,2,FALSE)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ndi@gmail.com" TargetMode="External"/><Relationship Id="rId1" Type="http://schemas.openxmlformats.org/officeDocument/2006/relationships/hyperlink" Target="mailto:andi.saputra@merdekabatte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A28B-B8F0-48AD-BE35-5AABDB62F63F}">
  <dimension ref="A1:K98"/>
  <sheetViews>
    <sheetView topLeftCell="A68" workbookViewId="0">
      <selection activeCell="B74" sqref="B74"/>
    </sheetView>
  </sheetViews>
  <sheetFormatPr defaultRowHeight="14.4" x14ac:dyDescent="0.3"/>
  <cols>
    <col min="1" max="1" width="27.77734375" bestFit="1" customWidth="1"/>
    <col min="2" max="3" width="28.5546875" customWidth="1"/>
    <col min="4" max="4" width="96" bestFit="1" customWidth="1"/>
    <col min="5" max="6" width="28.5546875" customWidth="1"/>
    <col min="7" max="7" width="23.77734375" customWidth="1"/>
    <col min="8" max="8" width="23.21875" customWidth="1"/>
    <col min="9" max="9" width="20.33203125" customWidth="1"/>
    <col min="11" max="11" width="17.77734375" customWidth="1"/>
  </cols>
  <sheetData>
    <row r="1" spans="1:11" x14ac:dyDescent="0.3">
      <c r="A1" s="1" t="s">
        <v>0</v>
      </c>
      <c r="B1" s="1" t="s">
        <v>1</v>
      </c>
      <c r="C1" s="1" t="s">
        <v>199</v>
      </c>
      <c r="D1" s="1" t="s">
        <v>203</v>
      </c>
      <c r="E1" s="1" t="s">
        <v>196</v>
      </c>
      <c r="F1" s="1" t="s">
        <v>197</v>
      </c>
      <c r="G1" s="1" t="s">
        <v>2</v>
      </c>
      <c r="H1" s="1" t="s">
        <v>3</v>
      </c>
      <c r="I1" s="1" t="s">
        <v>4</v>
      </c>
      <c r="J1" s="1" t="s">
        <v>200</v>
      </c>
      <c r="K1" s="1" t="s">
        <v>202</v>
      </c>
    </row>
    <row r="2" spans="1:11" x14ac:dyDescent="0.3">
      <c r="A2" s="5" t="s">
        <v>5</v>
      </c>
      <c r="B2" s="5" t="s">
        <v>6</v>
      </c>
      <c r="C2" s="5" t="str">
        <f>VLOOKUP([1]!Table2[[#This Row],[Column Name]],'[1]Database Schema Proposed V2'!$A:$H,8,FALSE)</f>
        <v>BIT</v>
      </c>
      <c r="D2" t="s">
        <v>206</v>
      </c>
      <c r="E2" s="5" t="s">
        <v>198</v>
      </c>
      <c r="F2" s="5" t="s">
        <v>198</v>
      </c>
      <c r="G2" s="4" t="s">
        <v>198</v>
      </c>
      <c r="H2" s="4" t="s">
        <v>198</v>
      </c>
      <c r="I2" s="4" t="s">
        <v>198</v>
      </c>
      <c r="J2" t="str">
        <f>VLOOKUP([1]!Table2[[#This Row],[Mapping to Existing DB Schema]],'[1]Database Schema Proposed V2'!$K:$O,5,FALSE)</f>
        <v>NO</v>
      </c>
      <c r="K2" t="str">
        <f>VLOOKUP([1]!Table2[[#This Row],[Mapping to Existing DB Schema]],'[1]Database Schema Proposed V2'!$Q:$R,2,FALSE)</f>
        <v>employee_insurance</v>
      </c>
    </row>
    <row r="3" spans="1:11" x14ac:dyDescent="0.3">
      <c r="A3" s="5" t="s">
        <v>7</v>
      </c>
      <c r="B3" s="5" t="s">
        <v>8</v>
      </c>
      <c r="C3" s="5" t="str">
        <f>VLOOKUP([1]!Table2[[#This Row],[Column Name]],'[1]Database Schema Proposed V2'!$A:$H,8,FALSE)</f>
        <v>BIT</v>
      </c>
      <c r="D3" t="s">
        <v>207</v>
      </c>
      <c r="E3" s="5" t="s">
        <v>198</v>
      </c>
      <c r="F3" s="5" t="s">
        <v>198</v>
      </c>
      <c r="G3" s="4" t="s">
        <v>198</v>
      </c>
      <c r="H3" s="4" t="s">
        <v>198</v>
      </c>
      <c r="I3" s="4" t="s">
        <v>198</v>
      </c>
      <c r="J3" t="str">
        <f>VLOOKUP([1]!Table2[[#This Row],[Mapping to Existing DB Schema]],'[1]Database Schema Proposed V2'!$K:$O,5,FALSE)</f>
        <v>NO</v>
      </c>
      <c r="K3" t="str">
        <f>VLOOKUP([1]!Table2[[#This Row],[Mapping to Existing DB Schema]],'[1]Database Schema Proposed V2'!$Q:$R,2,FALSE)</f>
        <v>employee_insurance</v>
      </c>
    </row>
    <row r="4" spans="1:11" x14ac:dyDescent="0.3">
      <c r="A4" s="5" t="s">
        <v>9</v>
      </c>
      <c r="B4" s="5" t="s">
        <v>10</v>
      </c>
      <c r="C4" s="5" t="str">
        <f>VLOOKUP([1]!Table2[[#This Row],[Column Name]],'[1]Database Schema Proposed V2'!$A:$H,8,FALSE)</f>
        <v>BIT</v>
      </c>
      <c r="D4" t="s">
        <v>206</v>
      </c>
      <c r="E4" s="5" t="s">
        <v>198</v>
      </c>
      <c r="F4" s="5" t="s">
        <v>198</v>
      </c>
      <c r="G4" s="4" t="s">
        <v>198</v>
      </c>
      <c r="H4" s="4" t="s">
        <v>198</v>
      </c>
      <c r="I4" s="4" t="s">
        <v>198</v>
      </c>
      <c r="J4" t="str">
        <f>VLOOKUP([1]!Table2[[#This Row],[Mapping to Existing DB Schema]],'[1]Database Schema Proposed V2'!$K:$O,5,FALSE)</f>
        <v>NO</v>
      </c>
      <c r="K4" t="str">
        <f>VLOOKUP([1]!Table2[[#This Row],[Mapping to Existing DB Schema]],'[1]Database Schema Proposed V2'!$Q:$R,2,FALSE)</f>
        <v>employee_insurance</v>
      </c>
    </row>
    <row r="5" spans="1:11" x14ac:dyDescent="0.3">
      <c r="A5" s="5" t="s">
        <v>11</v>
      </c>
      <c r="B5" s="5" t="s">
        <v>12</v>
      </c>
      <c r="C5" s="5" t="str">
        <f>VLOOKUP([1]!Table2[[#This Row],[Column Name]],'[1]Database Schema Proposed V2'!$A:$H,8,FALSE)</f>
        <v>VARCHAR(20)</v>
      </c>
      <c r="D5" t="s">
        <v>208</v>
      </c>
      <c r="E5" s="5" t="s">
        <v>198</v>
      </c>
      <c r="F5" s="5" t="s">
        <v>198</v>
      </c>
      <c r="G5" s="4" t="s">
        <v>198</v>
      </c>
      <c r="H5" s="4" t="s">
        <v>198</v>
      </c>
      <c r="I5" s="4" t="s">
        <v>198</v>
      </c>
      <c r="J5" t="str">
        <f>VLOOKUP([1]!Table2[[#This Row],[Mapping to Existing DB Schema]],'[1]Database Schema Proposed V2'!$K:$O,5,FALSE)</f>
        <v>NO</v>
      </c>
      <c r="K5" t="str">
        <f>VLOOKUP([1]!Table2[[#This Row],[Mapping to Existing DB Schema]],'[1]Database Schema Proposed V2'!$Q:$R,2,FALSE)</f>
        <v>employee_bank, employee_contact, employee_core, employee_employment, employee_insurance, employee_onboard, employee_travel</v>
      </c>
    </row>
    <row r="6" spans="1:11" x14ac:dyDescent="0.3">
      <c r="A6" s="5" t="s">
        <v>13</v>
      </c>
      <c r="B6" s="5" t="s">
        <v>14</v>
      </c>
      <c r="C6" s="5" t="str">
        <f>VLOOKUP([1]!Table2[[#This Row],[Column Name]],'[1]Database Schema Proposed V2'!$A:$H,8,FALSE)</f>
        <v>VARCHAR(20)</v>
      </c>
      <c r="D6" t="s">
        <v>209</v>
      </c>
      <c r="E6" s="5" t="s">
        <v>198</v>
      </c>
      <c r="F6" s="5"/>
      <c r="G6" s="4" t="s">
        <v>198</v>
      </c>
      <c r="H6" s="4" t="str">
        <f>VLOOKUP('Column Name'!$B6,[2]Sheet2!$D:$F,3,FALSE)</f>
        <v>Y</v>
      </c>
      <c r="I6" s="4" t="s">
        <v>198</v>
      </c>
      <c r="J6" t="str">
        <f>VLOOKUP([1]!Table2[[#This Row],[Mapping to Existing DB Schema]],'[1]Database Schema Proposed V2'!$K:$O,5,FALSE)</f>
        <v>NO</v>
      </c>
      <c r="K6" t="str">
        <f>VLOOKUP([1]!Table2[[#This Row],[Mapping to Existing DB Schema]],'[1]Database Schema Proposed V2'!$Q:$R,2,FALSE)</f>
        <v>employee_core</v>
      </c>
    </row>
    <row r="7" spans="1:11" x14ac:dyDescent="0.3">
      <c r="A7" s="5" t="s">
        <v>15</v>
      </c>
      <c r="B7" s="5" t="s">
        <v>16</v>
      </c>
      <c r="C7" s="5" t="str">
        <f>VLOOKUP([1]!Table2[[#This Row],[Column Name]],'[1]Database Schema Proposed V2'!$A:$H,8,FALSE)</f>
        <v>VARCHAR(100)</v>
      </c>
      <c r="D7" t="s">
        <v>210</v>
      </c>
      <c r="E7" s="5" t="s">
        <v>198</v>
      </c>
      <c r="F7" s="5" t="s">
        <v>198</v>
      </c>
      <c r="G7" s="4" t="s">
        <v>198</v>
      </c>
      <c r="H7" s="4" t="s">
        <v>198</v>
      </c>
      <c r="I7" s="4" t="s">
        <v>198</v>
      </c>
      <c r="J7" t="str">
        <f>VLOOKUP([1]!Table2[[#This Row],[Mapping to Existing DB Schema]],'[1]Database Schema Proposed V2'!$K:$O,5,FALSE)</f>
        <v>NO</v>
      </c>
      <c r="K7" t="str">
        <f>VLOOKUP([1]!Table2[[#This Row],[Mapping to Existing DB Schema]],'[1]Database Schema Proposed V2'!$Q:$R,2,FALSE)</f>
        <v>employee_core</v>
      </c>
    </row>
    <row r="8" spans="1:11" x14ac:dyDescent="0.3">
      <c r="A8" s="5" t="s">
        <v>17</v>
      </c>
      <c r="B8" s="5" t="s">
        <v>18</v>
      </c>
      <c r="C8" s="5" t="str">
        <f>VLOOKUP([1]!Table2[[#This Row],[Column Name]],'[1]Database Schema Proposed V2'!$A:$H,8,FALSE)</f>
        <v>VARCHAR(10)</v>
      </c>
      <c r="D8" t="s">
        <v>211</v>
      </c>
      <c r="E8" s="5" t="s">
        <v>198</v>
      </c>
      <c r="F8" s="5" t="s">
        <v>198</v>
      </c>
      <c r="G8" s="4" t="s">
        <v>198</v>
      </c>
      <c r="H8" s="4" t="s">
        <v>198</v>
      </c>
      <c r="I8" s="4" t="s">
        <v>198</v>
      </c>
      <c r="J8" t="str">
        <f>VLOOKUP([1]!Table2[[#This Row],[Mapping to Existing DB Schema]],'[1]Database Schema Proposed V2'!$K:$O,5,FALSE)</f>
        <v>NO</v>
      </c>
      <c r="K8" t="str">
        <f>VLOOKUP([1]!Table2[[#This Row],[Mapping to Existing DB Schema]],'[1]Database Schema Proposed V2'!$Q:$R,2,FALSE)</f>
        <v>employee_core</v>
      </c>
    </row>
    <row r="9" spans="1:11" x14ac:dyDescent="0.3">
      <c r="A9" s="5" t="s">
        <v>19</v>
      </c>
      <c r="B9" s="5" t="s">
        <v>20</v>
      </c>
      <c r="C9" s="5" t="str">
        <f>VLOOKUP([1]!Table2[[#This Row],[Column Name]],'[1]Database Schema Proposed V2'!$A:$H,8,FALSE)</f>
        <v>VARCHAR(50)</v>
      </c>
      <c r="D9" t="s">
        <v>212</v>
      </c>
      <c r="E9" s="5" t="s">
        <v>198</v>
      </c>
      <c r="F9" s="5" t="s">
        <v>198</v>
      </c>
      <c r="G9" s="4" t="s">
        <v>198</v>
      </c>
      <c r="H9" s="4"/>
      <c r="I9" s="4" t="s">
        <v>198</v>
      </c>
      <c r="J9" t="str">
        <f>VLOOKUP([1]!Table2[[#This Row],[Mapping to Existing DB Schema]],'[1]Database Schema Proposed V2'!$K:$O,5,FALSE)</f>
        <v>NO</v>
      </c>
      <c r="K9" t="str">
        <f>VLOOKUP([1]!Table2[[#This Row],[Mapping to Existing DB Schema]],'[1]Database Schema Proposed V2'!$Q:$R,2,FALSE)</f>
        <v>employee_core</v>
      </c>
    </row>
    <row r="10" spans="1:11" x14ac:dyDescent="0.3">
      <c r="A10" s="5" t="s">
        <v>21</v>
      </c>
      <c r="B10" s="5" t="s">
        <v>22</v>
      </c>
      <c r="C10" s="5" t="str">
        <f>VLOOKUP([1]!Table2[[#This Row],[Column Name]],'[1]Database Schema Proposed V2'!$A:$H,8,FALSE)</f>
        <v>DATE</v>
      </c>
      <c r="D10" s="2">
        <v>32975</v>
      </c>
      <c r="E10" s="5" t="s">
        <v>198</v>
      </c>
      <c r="F10" s="5" t="s">
        <v>198</v>
      </c>
      <c r="G10" s="4" t="s">
        <v>198</v>
      </c>
      <c r="H10" s="4"/>
      <c r="I10" s="4" t="s">
        <v>198</v>
      </c>
      <c r="J10" t="str">
        <f>VLOOKUP([1]!Table2[[#This Row],[Mapping to Existing DB Schema]],'[1]Database Schema Proposed V2'!$K:$O,5,FALSE)</f>
        <v>NO</v>
      </c>
      <c r="K10" t="str">
        <f>VLOOKUP([1]!Table2[[#This Row],[Mapping to Existing DB Schema]],'[1]Database Schema Proposed V2'!$Q:$R,2,FALSE)</f>
        <v>employee_core</v>
      </c>
    </row>
    <row r="11" spans="1:11" x14ac:dyDescent="0.3">
      <c r="A11" s="5" t="s">
        <v>23</v>
      </c>
      <c r="B11" s="5" t="s">
        <v>24</v>
      </c>
      <c r="C11" s="5" t="str">
        <f>VLOOKUP([1]!Table2[[#This Row],[Column Name]],'[1]Database Schema Proposed V2'!$A:$H,8,FALSE)</f>
        <v>INT</v>
      </c>
      <c r="D11" t="s">
        <v>213</v>
      </c>
      <c r="E11" s="5" t="s">
        <v>198</v>
      </c>
      <c r="F11" s="5" t="s">
        <v>198</v>
      </c>
      <c r="G11" s="4" t="s">
        <v>198</v>
      </c>
      <c r="H11" s="4"/>
      <c r="I11" s="4" t="s">
        <v>198</v>
      </c>
      <c r="J11" t="str">
        <f>VLOOKUP([1]!Table2[[#This Row],[Mapping to Existing DB Schema]],'[1]Database Schema Proposed V2'!$K:$O,5,FALSE)</f>
        <v>NO</v>
      </c>
      <c r="K11" t="str">
        <f>VLOOKUP([1]!Table2[[#This Row],[Mapping to Existing DB Schema]],'[1]Database Schema Proposed V2'!$Q:$R,2,FALSE)</f>
        <v>employee_core</v>
      </c>
    </row>
    <row r="12" spans="1:11" x14ac:dyDescent="0.3">
      <c r="A12" s="5" t="s">
        <v>25</v>
      </c>
      <c r="B12" s="5" t="s">
        <v>26</v>
      </c>
      <c r="C12" s="5" t="str">
        <f>VLOOKUP([1]!Table2[[#This Row],[Column Name]],'[1]Database Schema Proposed V2'!$A:$H,8,FALSE)</f>
        <v>VARCHAR(20)</v>
      </c>
      <c r="D12" t="s">
        <v>214</v>
      </c>
      <c r="E12" s="5" t="s">
        <v>198</v>
      </c>
      <c r="F12" s="5" t="s">
        <v>198</v>
      </c>
      <c r="G12" s="4" t="s">
        <v>198</v>
      </c>
      <c r="H12" s="4" t="s">
        <v>198</v>
      </c>
      <c r="I12" s="4" t="s">
        <v>198</v>
      </c>
      <c r="J12" t="str">
        <f>VLOOKUP([1]!Table2[[#This Row],[Mapping to Existing DB Schema]],'[1]Database Schema Proposed V2'!$K:$O,5,FALSE)</f>
        <v>NO</v>
      </c>
      <c r="K12" t="str">
        <f>VLOOKUP([1]!Table2[[#This Row],[Mapping to Existing DB Schema]],'[1]Database Schema Proposed V2'!$Q:$R,2,FALSE)</f>
        <v>employee_core</v>
      </c>
    </row>
    <row r="13" spans="1:11" x14ac:dyDescent="0.3">
      <c r="A13" s="5" t="s">
        <v>27</v>
      </c>
      <c r="B13" s="5" t="s">
        <v>28</v>
      </c>
      <c r="C13" s="5" t="str">
        <f>VLOOKUP([1]!Table2[[#This Row],[Column Name]],'[1]Database Schema Proposed V2'!$A:$H,8,FALSE)</f>
        <v>VARCHAR(10)</v>
      </c>
      <c r="D13" t="s">
        <v>215</v>
      </c>
      <c r="E13" s="5" t="s">
        <v>198</v>
      </c>
      <c r="F13" s="5" t="s">
        <v>198</v>
      </c>
      <c r="G13" s="4" t="s">
        <v>198</v>
      </c>
      <c r="H13" s="4"/>
      <c r="I13" s="4" t="s">
        <v>198</v>
      </c>
      <c r="J13" t="str">
        <f>VLOOKUP([1]!Table2[[#This Row],[Mapping to Existing DB Schema]],'[1]Database Schema Proposed V2'!$K:$O,5,FALSE)</f>
        <v>NO</v>
      </c>
      <c r="K13" t="str">
        <f>VLOOKUP([1]!Table2[[#This Row],[Mapping to Existing DB Schema]],'[1]Database Schema Proposed V2'!$Q:$R,2,FALSE)</f>
        <v>employee_core</v>
      </c>
    </row>
    <row r="14" spans="1:11" x14ac:dyDescent="0.3">
      <c r="A14" s="5" t="s">
        <v>29</v>
      </c>
      <c r="B14" s="5" t="s">
        <v>30</v>
      </c>
      <c r="C14" s="5" t="str">
        <f>VLOOKUP([1]!Table2[[#This Row],[Column Name]],'[1]Database Schema Proposed V2'!$A:$H,8,FALSE)</f>
        <v>VARCHAR(100)</v>
      </c>
      <c r="D14" t="s">
        <v>216</v>
      </c>
      <c r="E14" s="5" t="s">
        <v>198</v>
      </c>
      <c r="F14" s="5"/>
      <c r="G14" s="4" t="s">
        <v>198</v>
      </c>
      <c r="H14" s="4" t="s">
        <v>198</v>
      </c>
      <c r="I14" s="4" t="s">
        <v>198</v>
      </c>
      <c r="J14" t="str">
        <f>VLOOKUP([1]!Table2[[#This Row],[Mapping to Existing DB Schema]],'[1]Database Schema Proposed V2'!$K:$O,5,FALSE)</f>
        <v>NO</v>
      </c>
      <c r="K14" t="str">
        <f>VLOOKUP([1]!Table2[[#This Row],[Mapping to Existing DB Schema]],'[1]Database Schema Proposed V2'!$Q:$R,2,FALSE)</f>
        <v>employee_contact</v>
      </c>
    </row>
    <row r="15" spans="1:11" x14ac:dyDescent="0.3">
      <c r="A15" s="5" t="s">
        <v>31</v>
      </c>
      <c r="B15" s="5" t="s">
        <v>32</v>
      </c>
      <c r="C15" s="5" t="str">
        <f>VLOOKUP([1]!Table2[[#This Row],[Column Name]],'[1]Database Schema Proposed V2'!$A:$H,8,FALSE)</f>
        <v>VARCHAR(100)</v>
      </c>
      <c r="D15" t="s">
        <v>217</v>
      </c>
      <c r="E15" s="5" t="s">
        <v>198</v>
      </c>
      <c r="F15" s="5"/>
      <c r="G15" s="4" t="s">
        <v>198</v>
      </c>
      <c r="H15" s="4" t="s">
        <v>198</v>
      </c>
      <c r="I15" s="4" t="s">
        <v>198</v>
      </c>
      <c r="J15" t="str">
        <f>VLOOKUP([1]!Table2[[#This Row],[Mapping to Existing DB Schema]],'[1]Database Schema Proposed V2'!$K:$O,5,FALSE)</f>
        <v>NO</v>
      </c>
      <c r="K15" t="str">
        <f>VLOOKUP([1]!Table2[[#This Row],[Mapping to Existing DB Schema]],'[1]Database Schema Proposed V2'!$Q:$R,2,FALSE)</f>
        <v>employee_contact</v>
      </c>
    </row>
    <row r="16" spans="1:11" x14ac:dyDescent="0.3">
      <c r="A16" s="5" t="s">
        <v>33</v>
      </c>
      <c r="B16" s="5" t="s">
        <v>34</v>
      </c>
      <c r="C16" s="5" t="str">
        <f>VLOOKUP([1]!Table2[[#This Row],[Column Name]],'[1]Database Schema Proposed V2'!$A:$H,8,FALSE)</f>
        <v>VARCHAR(100)</v>
      </c>
      <c r="D16" t="s">
        <v>218</v>
      </c>
      <c r="E16" s="5" t="s">
        <v>198</v>
      </c>
      <c r="F16" s="5"/>
      <c r="G16" s="4" t="s">
        <v>198</v>
      </c>
      <c r="H16" s="4" t="s">
        <v>198</v>
      </c>
      <c r="I16" s="4" t="s">
        <v>198</v>
      </c>
      <c r="J16" t="str">
        <f>VLOOKUP([1]!Table2[[#This Row],[Mapping to Existing DB Schema]],'[1]Database Schema Proposed V2'!$K:$O,5,FALSE)</f>
        <v>NO</v>
      </c>
      <c r="K16" t="str">
        <f>VLOOKUP([1]!Table2[[#This Row],[Mapping to Existing DB Schema]],'[1]Database Schema Proposed V2'!$Q:$R,2,FALSE)</f>
        <v>employee_contact</v>
      </c>
    </row>
    <row r="17" spans="1:11" x14ac:dyDescent="0.3">
      <c r="A17" s="5" t="s">
        <v>35</v>
      </c>
      <c r="B17" s="5" t="s">
        <v>36</v>
      </c>
      <c r="C17" s="5" t="str">
        <f>VLOOKUP([1]!Table2[[#This Row],[Column Name]],'[1]Database Schema Proposed V2'!$A:$H,8,FALSE)</f>
        <v>VARCHAR(100)</v>
      </c>
      <c r="D17" t="s">
        <v>219</v>
      </c>
      <c r="E17" s="5" t="s">
        <v>198</v>
      </c>
      <c r="F17" s="5"/>
      <c r="G17" s="4" t="s">
        <v>198</v>
      </c>
      <c r="H17" s="4" t="s">
        <v>198</v>
      </c>
      <c r="I17" s="4" t="s">
        <v>198</v>
      </c>
      <c r="J17" t="str">
        <f>VLOOKUP([1]!Table2[[#This Row],[Mapping to Existing DB Schema]],'[1]Database Schema Proposed V2'!$K:$O,5,FALSE)</f>
        <v>NO</v>
      </c>
      <c r="K17" t="str">
        <f>VLOOKUP([1]!Table2[[#This Row],[Mapping to Existing DB Schema]],'[1]Database Schema Proposed V2'!$Q:$R,2,FALSE)</f>
        <v>employee_contact</v>
      </c>
    </row>
    <row r="18" spans="1:11" x14ac:dyDescent="0.3">
      <c r="A18" s="5" t="s">
        <v>37</v>
      </c>
      <c r="B18" s="5" t="s">
        <v>38</v>
      </c>
      <c r="C18" s="5" t="str">
        <f>VLOOKUP([1]!Table2[[#This Row],[Column Name]],'[1]Database Schema Proposed V2'!$A:$H,8,FALSE)</f>
        <v>VARCHAR(30)</v>
      </c>
      <c r="D18" t="s">
        <v>220</v>
      </c>
      <c r="E18" s="5" t="s">
        <v>198</v>
      </c>
      <c r="F18" s="5" t="s">
        <v>198</v>
      </c>
      <c r="G18" s="4" t="s">
        <v>198</v>
      </c>
      <c r="H18" s="4"/>
      <c r="I18" s="4" t="s">
        <v>198</v>
      </c>
      <c r="J18" t="str">
        <f>VLOOKUP([1]!Table2[[#This Row],[Mapping to Existing DB Schema]],'[1]Database Schema Proposed V2'!$K:$O,5,FALSE)</f>
        <v>NO</v>
      </c>
      <c r="K18" t="str">
        <f>VLOOKUP([1]!Table2[[#This Row],[Mapping to Existing DB Schema]],'[1]Database Schema Proposed V2'!$Q:$R,2,FALSE)</f>
        <v>employee_core</v>
      </c>
    </row>
    <row r="19" spans="1:11" x14ac:dyDescent="0.3">
      <c r="A19" s="5" t="s">
        <v>39</v>
      </c>
      <c r="B19" s="5" t="s">
        <v>40</v>
      </c>
      <c r="C19" s="5" t="str">
        <f>VLOOKUP([1]!Table2[[#This Row],[Column Name]],'[1]Database Schema Proposed V2'!$A:$H,8,FALSE)</f>
        <v>VARCHAR(50)</v>
      </c>
      <c r="D19" t="s">
        <v>221</v>
      </c>
      <c r="E19" s="5" t="s">
        <v>198</v>
      </c>
      <c r="F19" s="5" t="s">
        <v>198</v>
      </c>
      <c r="G19" s="4" t="s">
        <v>198</v>
      </c>
      <c r="H19" s="4"/>
      <c r="I19" s="4" t="s">
        <v>198</v>
      </c>
      <c r="J19" t="str">
        <f>VLOOKUP([1]!Table2[[#This Row],[Mapping to Existing DB Schema]],'[1]Database Schema Proposed V2'!$K:$O,5,FALSE)</f>
        <v>NO</v>
      </c>
      <c r="K19" t="str">
        <f>VLOOKUP([1]!Table2[[#This Row],[Mapping to Existing DB Schema]],'[1]Database Schema Proposed V2'!$Q:$R,2,FALSE)</f>
        <v>employee_core</v>
      </c>
    </row>
    <row r="20" spans="1:11" x14ac:dyDescent="0.3">
      <c r="A20" s="5" t="s">
        <v>41</v>
      </c>
      <c r="B20" s="5" t="s">
        <v>42</v>
      </c>
      <c r="C20" s="5" t="str">
        <f>VLOOKUP([1]!Table2[[#This Row],[Column Name]],'[1]Database Schema Proposed V2'!$A:$H,8,FALSE)</f>
        <v>VARCHAR(5)</v>
      </c>
      <c r="D20" t="s">
        <v>222</v>
      </c>
      <c r="E20" s="5" t="s">
        <v>198</v>
      </c>
      <c r="F20" s="5" t="s">
        <v>198</v>
      </c>
      <c r="G20" s="4" t="s">
        <v>198</v>
      </c>
      <c r="H20" s="4"/>
      <c r="I20" s="4" t="s">
        <v>198</v>
      </c>
      <c r="J20" t="str">
        <f>VLOOKUP([1]!Table2[[#This Row],[Mapping to Existing DB Schema]],'[1]Database Schema Proposed V2'!$K:$O,5,FALSE)</f>
        <v>NO</v>
      </c>
      <c r="K20" t="str">
        <f>VLOOKUP([1]!Table2[[#This Row],[Mapping to Existing DB Schema]],'[1]Database Schema Proposed V2'!$Q:$R,2,FALSE)</f>
        <v>employee_core</v>
      </c>
    </row>
    <row r="21" spans="1:11" x14ac:dyDescent="0.3">
      <c r="A21" s="5" t="s">
        <v>43</v>
      </c>
      <c r="B21" s="5" t="s">
        <v>44</v>
      </c>
      <c r="C21" s="5" t="str">
        <f>VLOOKUP([1]!Table2[[#This Row],[Column Name]],'[1]Database Schema Proposed V2'!$A:$H,8,FALSE)</f>
        <v>VARCHAR(20)</v>
      </c>
      <c r="D21" t="s">
        <v>223</v>
      </c>
      <c r="E21" s="5" t="s">
        <v>198</v>
      </c>
      <c r="F21" s="5" t="s">
        <v>198</v>
      </c>
      <c r="G21" s="4" t="s">
        <v>198</v>
      </c>
      <c r="H21" s="4" t="s">
        <v>198</v>
      </c>
      <c r="I21" s="4" t="s">
        <v>198</v>
      </c>
      <c r="J21" t="str">
        <f>VLOOKUP([1]!Table2[[#This Row],[Mapping to Existing DB Schema]],'[1]Database Schema Proposed V2'!$K:$O,5,FALSE)</f>
        <v>NO</v>
      </c>
      <c r="K21" t="str">
        <f>VLOOKUP([1]!Table2[[#This Row],[Mapping to Existing DB Schema]],'[1]Database Schema Proposed V2'!$Q:$R,2,FALSE)</f>
        <v>employee_contact</v>
      </c>
    </row>
    <row r="22" spans="1:11" x14ac:dyDescent="0.3">
      <c r="A22" s="5" t="s">
        <v>45</v>
      </c>
      <c r="B22" s="5" t="s">
        <v>46</v>
      </c>
      <c r="C22" s="5" t="str">
        <f>VLOOKUP([1]!Table2[[#This Row],[Column Name]],'[1]Database Schema Proposed V2'!$A:$H,8,FALSE)</f>
        <v>VARCHAR(100)</v>
      </c>
      <c r="D22" t="s">
        <v>224</v>
      </c>
      <c r="E22" s="5" t="s">
        <v>198</v>
      </c>
      <c r="F22" s="5"/>
      <c r="G22" s="4" t="s">
        <v>198</v>
      </c>
      <c r="H22" s="4"/>
      <c r="I22" s="4" t="s">
        <v>198</v>
      </c>
      <c r="J22" t="str">
        <f>VLOOKUP([1]!Table2[[#This Row],[Mapping to Existing DB Schema]],'[1]Database Schema Proposed V2'!$K:$O,5,FALSE)</f>
        <v>NO</v>
      </c>
      <c r="K22" t="str">
        <f>VLOOKUP([1]!Table2[[#This Row],[Mapping to Existing DB Schema]],'[1]Database Schema Proposed V2'!$Q:$R,2,FALSE)</f>
        <v>employee_contact</v>
      </c>
    </row>
    <row r="23" spans="1:11" x14ac:dyDescent="0.3">
      <c r="A23" s="5" t="s">
        <v>47</v>
      </c>
      <c r="B23" s="5" t="s">
        <v>48</v>
      </c>
      <c r="C23" s="5" t="str">
        <f>VLOOKUP([1]!Table2[[#This Row],[Column Name]],'[1]Database Schema Proposed V2'!$A:$H,8,FALSE)</f>
        <v>VARCHAR(20)</v>
      </c>
      <c r="D23" t="s">
        <v>225</v>
      </c>
      <c r="E23" s="5" t="s">
        <v>198</v>
      </c>
      <c r="F23" s="5"/>
      <c r="G23" s="4" t="s">
        <v>198</v>
      </c>
      <c r="H23" s="4"/>
      <c r="I23" s="4" t="s">
        <v>198</v>
      </c>
      <c r="J23" t="str">
        <f>VLOOKUP([1]!Table2[[#This Row],[Mapping to Existing DB Schema]],'[1]Database Schema Proposed V2'!$K:$O,5,FALSE)</f>
        <v>NO</v>
      </c>
      <c r="K23" t="str">
        <f>VLOOKUP([1]!Table2[[#This Row],[Mapping to Existing DB Schema]],'[1]Database Schema Proposed V2'!$Q:$R,2,FALSE)</f>
        <v>employee_contact</v>
      </c>
    </row>
    <row r="24" spans="1:11" x14ac:dyDescent="0.3">
      <c r="A24" s="5" t="s">
        <v>49</v>
      </c>
      <c r="B24" s="5" t="s">
        <v>50</v>
      </c>
      <c r="C24" s="5" t="str">
        <f>VLOOKUP([1]!Table2[[#This Row],[Column Name]],'[1]Database Schema Proposed V2'!$A:$H,8,FALSE)</f>
        <v>VARCHAR(25)</v>
      </c>
      <c r="D24" t="s">
        <v>226</v>
      </c>
      <c r="E24" s="5" t="s">
        <v>198</v>
      </c>
      <c r="F24" s="5"/>
      <c r="G24" s="4" t="s">
        <v>198</v>
      </c>
      <c r="H24" s="4" t="s">
        <v>198</v>
      </c>
      <c r="I24" s="4" t="s">
        <v>198</v>
      </c>
      <c r="J24" t="str">
        <f>VLOOKUP([1]!Table2[[#This Row],[Mapping to Existing DB Schema]],'[1]Database Schema Proposed V2'!$K:$O,5,FALSE)</f>
        <v>NO</v>
      </c>
      <c r="K24" t="str">
        <f>VLOOKUP([1]!Table2[[#This Row],[Mapping to Existing DB Schema]],'[1]Database Schema Proposed V2'!$Q:$R,2,FALSE)</f>
        <v>employee_core</v>
      </c>
    </row>
    <row r="25" spans="1:11" x14ac:dyDescent="0.3">
      <c r="A25" s="5" t="s">
        <v>51</v>
      </c>
      <c r="B25" s="5" t="s">
        <v>52</v>
      </c>
      <c r="C25" s="5" t="str">
        <f>VLOOKUP([1]!Table2[[#This Row],[Column Name]],'[1]Database Schema Proposed V2'!$A:$H,8,FALSE)</f>
        <v>VARCHAR(20)</v>
      </c>
      <c r="D25" t="s">
        <v>227</v>
      </c>
      <c r="E25" s="5" t="s">
        <v>198</v>
      </c>
      <c r="F25" s="5" t="s">
        <v>198</v>
      </c>
      <c r="G25" s="4" t="s">
        <v>198</v>
      </c>
      <c r="H25" s="4"/>
      <c r="I25" s="4" t="s">
        <v>198</v>
      </c>
      <c r="J25" t="str">
        <f>VLOOKUP([1]!Table2[[#This Row],[Mapping to Existing DB Schema]],'[1]Database Schema Proposed V2'!$K:$O,5,FALSE)</f>
        <v>NO</v>
      </c>
      <c r="K25" t="str">
        <f>VLOOKUP([1]!Table2[[#This Row],[Mapping to Existing DB Schema]],'[1]Database Schema Proposed V2'!$Q:$R,2,FALSE)</f>
        <v>employee_core</v>
      </c>
    </row>
    <row r="26" spans="1:11" x14ac:dyDescent="0.3">
      <c r="A26" s="5" t="s">
        <v>53</v>
      </c>
      <c r="B26" s="5" t="s">
        <v>54</v>
      </c>
      <c r="C26" s="5" t="str">
        <f>VLOOKUP([1]!Table2[[#This Row],[Column Name]],'[1]Database Schema Proposed V2'!$A:$H,8,FALSE)</f>
        <v>VARCHAR(255)</v>
      </c>
      <c r="D26" t="s">
        <v>228</v>
      </c>
      <c r="E26" s="5" t="s">
        <v>198</v>
      </c>
      <c r="F26" s="5" t="s">
        <v>198</v>
      </c>
      <c r="G26" s="4" t="s">
        <v>198</v>
      </c>
      <c r="H26" s="4" t="str">
        <f>VLOOKUP('Column Name'!$B26,[2]Sheet2!$D:$F,3,FALSE)</f>
        <v>Y</v>
      </c>
      <c r="I26" s="4" t="s">
        <v>198</v>
      </c>
      <c r="J26" t="str">
        <f>VLOOKUP([1]!Table2[[#This Row],[Mapping to Existing DB Schema]],'[1]Database Schema Proposed V2'!$K:$O,5,FALSE)</f>
        <v>NO</v>
      </c>
      <c r="K26" t="str">
        <f>VLOOKUP([1]!Table2[[#This Row],[Mapping to Existing DB Schema]],'[1]Database Schema Proposed V2'!$Q:$R,2,FALSE)</f>
        <v>employee_contact</v>
      </c>
    </row>
    <row r="27" spans="1:11" x14ac:dyDescent="0.3">
      <c r="A27" s="5" t="s">
        <v>55</v>
      </c>
      <c r="B27" s="5" t="s">
        <v>56</v>
      </c>
      <c r="C27" s="5" t="str">
        <f>VLOOKUP([1]!Table2[[#This Row],[Column Name]],'[1]Database Schema Proposed V2'!$A:$H,8,FALSE)</f>
        <v>VARCHAR(100)</v>
      </c>
      <c r="D27" t="s">
        <v>229</v>
      </c>
      <c r="E27" s="5" t="s">
        <v>198</v>
      </c>
      <c r="F27" s="5" t="s">
        <v>198</v>
      </c>
      <c r="G27" s="4" t="s">
        <v>198</v>
      </c>
      <c r="H27" s="4"/>
      <c r="I27" s="4" t="s">
        <v>198</v>
      </c>
      <c r="J27" t="str">
        <f>VLOOKUP([1]!Table2[[#This Row],[Mapping to Existing DB Schema]],'[1]Database Schema Proposed V2'!$K:$O,5,FALSE)</f>
        <v>NO</v>
      </c>
      <c r="K27" t="str">
        <f>VLOOKUP([1]!Table2[[#This Row],[Mapping to Existing DB Schema]],'[1]Database Schema Proposed V2'!$Q:$R,2,FALSE)</f>
        <v>employee_contact</v>
      </c>
    </row>
    <row r="28" spans="1:11" x14ac:dyDescent="0.3">
      <c r="A28" s="5" t="s">
        <v>57</v>
      </c>
      <c r="B28" s="5" t="s">
        <v>58</v>
      </c>
      <c r="C28" s="5" t="str">
        <f>VLOOKUP([1]!Table2[[#This Row],[Column Name]],'[1]Database Schema Proposed V2'!$A:$H,8,FALSE)</f>
        <v>VARCHAR(100)</v>
      </c>
      <c r="D28" t="s">
        <v>212</v>
      </c>
      <c r="E28" s="5" t="s">
        <v>198</v>
      </c>
      <c r="F28" s="5" t="s">
        <v>198</v>
      </c>
      <c r="G28" s="4" t="s">
        <v>198</v>
      </c>
      <c r="H28" s="4" t="s">
        <v>198</v>
      </c>
      <c r="I28" s="4" t="s">
        <v>198</v>
      </c>
      <c r="J28" t="str">
        <f>VLOOKUP([1]!Table2[[#This Row],[Mapping to Existing DB Schema]],'[1]Database Schema Proposed V2'!$K:$O,5,FALSE)</f>
        <v>NO</v>
      </c>
      <c r="K28" t="str">
        <f>VLOOKUP([1]!Table2[[#This Row],[Mapping to Existing DB Schema]],'[1]Database Schema Proposed V2'!$Q:$R,2,FALSE)</f>
        <v>employee_onboard</v>
      </c>
    </row>
    <row r="29" spans="1:11" x14ac:dyDescent="0.3">
      <c r="A29" s="5" t="s">
        <v>59</v>
      </c>
      <c r="B29" s="5" t="s">
        <v>60</v>
      </c>
      <c r="C29" s="5" t="str">
        <f>VLOOKUP([1]!Table2[[#This Row],[Column Name]],'[1]Database Schema Proposed V2'!$A:$H,8,FALSE)</f>
        <v>VARCHAR(100)</v>
      </c>
      <c r="D29" t="s">
        <v>230</v>
      </c>
      <c r="E29" s="5" t="s">
        <v>198</v>
      </c>
      <c r="F29" s="5" t="s">
        <v>198</v>
      </c>
      <c r="G29" s="4" t="s">
        <v>198</v>
      </c>
      <c r="H29" s="4"/>
      <c r="I29" s="4" t="s">
        <v>198</v>
      </c>
      <c r="J29" t="str">
        <f>VLOOKUP([1]!Table2[[#This Row],[Mapping to Existing DB Schema]],'[1]Database Schema Proposed V2'!$K:$O,5,FALSE)</f>
        <v>NO</v>
      </c>
      <c r="K29" t="str">
        <f>VLOOKUP([1]!Table2[[#This Row],[Mapping to Existing DB Schema]],'[1]Database Schema Proposed V2'!$Q:$R,2,FALSE)</f>
        <v>employee_onboard</v>
      </c>
    </row>
    <row r="30" spans="1:11" x14ac:dyDescent="0.3">
      <c r="A30" s="5" t="s">
        <v>61</v>
      </c>
      <c r="B30" s="5" t="s">
        <v>62</v>
      </c>
      <c r="C30" s="5" t="str">
        <f>VLOOKUP([1]!Table2[[#This Row],[Column Name]],'[1]Database Schema Proposed V2'!$A:$H,8,FALSE)</f>
        <v>VARCHAR(50)</v>
      </c>
      <c r="D30" t="s">
        <v>231</v>
      </c>
      <c r="E30" s="5" t="s">
        <v>198</v>
      </c>
      <c r="F30" s="5" t="s">
        <v>198</v>
      </c>
      <c r="G30" s="4" t="s">
        <v>198</v>
      </c>
      <c r="H30" s="4"/>
      <c r="I30" s="4" t="s">
        <v>198</v>
      </c>
      <c r="J30" t="str">
        <f>VLOOKUP([1]!Table2[[#This Row],[Mapping to Existing DB Schema]],'[1]Database Schema Proposed V2'!$K:$O,5,FALSE)</f>
        <v>NO</v>
      </c>
      <c r="K30" t="str">
        <f>VLOOKUP([1]!Table2[[#This Row],[Mapping to Existing DB Schema]],'[1]Database Schema Proposed V2'!$Q:$R,2,FALSE)</f>
        <v>employee_core</v>
      </c>
    </row>
    <row r="31" spans="1:11" x14ac:dyDescent="0.3">
      <c r="A31" s="5" t="s">
        <v>63</v>
      </c>
      <c r="B31" s="5" t="s">
        <v>64</v>
      </c>
      <c r="C31" s="5" t="str">
        <f>VLOOKUP([1]!Table2[[#This Row],[Column Name]],'[1]Database Schema Proposed V2'!$A:$H,8,FALSE)</f>
        <v>VARCHAR(50)</v>
      </c>
      <c r="D31" t="s">
        <v>232</v>
      </c>
      <c r="E31" s="5" t="s">
        <v>198</v>
      </c>
      <c r="F31" s="5" t="s">
        <v>198</v>
      </c>
      <c r="G31" s="4" t="s">
        <v>198</v>
      </c>
      <c r="H31" s="4"/>
      <c r="I31" s="4" t="s">
        <v>198</v>
      </c>
      <c r="J31" t="str">
        <f>VLOOKUP([1]!Table2[[#This Row],[Mapping to Existing DB Schema]],'[1]Database Schema Proposed V2'!$K:$O,5,FALSE)</f>
        <v>NO</v>
      </c>
      <c r="K31" t="str">
        <f>VLOOKUP([1]!Table2[[#This Row],[Mapping to Existing DB Schema]],'[1]Database Schema Proposed V2'!$Q:$R,2,FALSE)</f>
        <v>employee_onboard</v>
      </c>
    </row>
    <row r="32" spans="1:11" x14ac:dyDescent="0.3">
      <c r="A32" s="5" t="s">
        <v>65</v>
      </c>
      <c r="B32" s="5" t="s">
        <v>66</v>
      </c>
      <c r="C32" s="5" t="str">
        <f>VLOOKUP([1]!Table2[[#This Row],[Column Name]],'[1]Database Schema Proposed V2'!$A:$H,8,FALSE)</f>
        <v>DATE</v>
      </c>
      <c r="D32" s="2">
        <v>43845</v>
      </c>
      <c r="E32" s="5" t="s">
        <v>198</v>
      </c>
      <c r="F32" s="5"/>
      <c r="G32" s="4" t="s">
        <v>198</v>
      </c>
      <c r="H32" s="4"/>
      <c r="I32" s="4" t="s">
        <v>198</v>
      </c>
      <c r="J32" t="str">
        <f>VLOOKUP([1]!Table2[[#This Row],[Mapping to Existing DB Schema]],'[1]Database Schema Proposed V2'!$K:$O,5,FALSE)</f>
        <v>NO</v>
      </c>
      <c r="K32" t="str">
        <f>VLOOKUP([1]!Table2[[#This Row],[Mapping to Existing DB Schema]],'[1]Database Schema Proposed V2'!$Q:$R,2,FALSE)</f>
        <v>employee_onboard</v>
      </c>
    </row>
    <row r="33" spans="1:11" x14ac:dyDescent="0.3">
      <c r="A33" s="5" t="s">
        <v>67</v>
      </c>
      <c r="B33" s="5" t="s">
        <v>68</v>
      </c>
      <c r="C33" s="5" t="str">
        <f>VLOOKUP([1]!Table2[[#This Row],[Column Name]],'[1]Database Schema Proposed V2'!$A:$H,8,FALSE)</f>
        <v>DATE</v>
      </c>
      <c r="D33" s="2">
        <v>44621</v>
      </c>
      <c r="E33" s="5" t="s">
        <v>198</v>
      </c>
      <c r="F33" s="5"/>
      <c r="G33" s="4" t="s">
        <v>198</v>
      </c>
      <c r="H33" s="4"/>
      <c r="I33" s="4" t="s">
        <v>198</v>
      </c>
      <c r="J33" t="str">
        <f>VLOOKUP([1]!Table2[[#This Row],[Mapping to Existing DB Schema]],'[1]Database Schema Proposed V2'!$K:$O,5,FALSE)</f>
        <v>NO</v>
      </c>
      <c r="K33" t="str">
        <f>VLOOKUP([1]!Table2[[#This Row],[Mapping to Existing DB Schema]],'[1]Database Schema Proposed V2'!$Q:$R,2,FALSE)</f>
        <v>employee_onboard</v>
      </c>
    </row>
    <row r="34" spans="1:11" x14ac:dyDescent="0.3">
      <c r="A34" s="5" t="s">
        <v>69</v>
      </c>
      <c r="B34" s="5" t="s">
        <v>70</v>
      </c>
      <c r="C34" s="5" t="str">
        <f>VLOOKUP([1]!Table2[[#This Row],[Column Name]],'[1]Database Schema Proposed V2'!$A:$H,8,FALSE)</f>
        <v>DATE</v>
      </c>
      <c r="D34" s="2">
        <v>43845</v>
      </c>
      <c r="E34" s="5" t="s">
        <v>198</v>
      </c>
      <c r="F34" s="5" t="s">
        <v>198</v>
      </c>
      <c r="G34" s="4" t="s">
        <v>198</v>
      </c>
      <c r="H34" s="4" t="s">
        <v>198</v>
      </c>
      <c r="I34" s="4" t="s">
        <v>198</v>
      </c>
      <c r="J34" t="str">
        <f>VLOOKUP([1]!Table2[[#This Row],[Mapping to Existing DB Schema]],'[1]Database Schema Proposed V2'!$K:$O,5,FALSE)</f>
        <v>NO</v>
      </c>
      <c r="K34" t="str">
        <f>VLOOKUP([1]!Table2[[#This Row],[Mapping to Existing DB Schema]],'[1]Database Schema Proposed V2'!$Q:$R,2,FALSE)</f>
        <v>employee_onboard</v>
      </c>
    </row>
    <row r="35" spans="1:11" x14ac:dyDescent="0.3">
      <c r="A35" s="5" t="s">
        <v>71</v>
      </c>
      <c r="B35" s="5" t="s">
        <v>72</v>
      </c>
      <c r="C35" s="5" t="str">
        <f>VLOOKUP([1]!Table2[[#This Row],[Column Name]],'[1]Database Schema Proposed V2'!$A:$H,8,FALSE)</f>
        <v>DATE</v>
      </c>
      <c r="D35" s="2">
        <v>43862</v>
      </c>
      <c r="E35" s="5" t="s">
        <v>198</v>
      </c>
      <c r="F35" s="5" t="s">
        <v>198</v>
      </c>
      <c r="G35" s="4" t="s">
        <v>198</v>
      </c>
      <c r="H35" s="4"/>
      <c r="I35" s="4" t="s">
        <v>198</v>
      </c>
      <c r="J35" t="str">
        <f>VLOOKUP([1]!Table2[[#This Row],[Mapping to Existing DB Schema]],'[1]Database Schema Proposed V2'!$K:$O,5,FALSE)</f>
        <v>NO</v>
      </c>
      <c r="K35" t="str">
        <f>VLOOKUP([1]!Table2[[#This Row],[Mapping to Existing DB Schema]],'[1]Database Schema Proposed V2'!$Q:$R,2,FALSE)</f>
        <v>employee_onboard</v>
      </c>
    </row>
    <row r="36" spans="1:11" x14ac:dyDescent="0.3">
      <c r="A36" s="5" t="s">
        <v>73</v>
      </c>
      <c r="B36" s="5" t="s">
        <v>74</v>
      </c>
      <c r="C36" s="5" t="str">
        <f>VLOOKUP([1]!Table2[[#This Row],[Column Name]],'[1]Database Schema Proposed V2'!$A:$H,8,FALSE)</f>
        <v>VARCHAR(30)</v>
      </c>
      <c r="D36" t="s">
        <v>233</v>
      </c>
      <c r="E36" s="5" t="s">
        <v>198</v>
      </c>
      <c r="F36" s="5" t="s">
        <v>198</v>
      </c>
      <c r="G36" s="4" t="s">
        <v>198</v>
      </c>
      <c r="H36" s="4" t="s">
        <v>198</v>
      </c>
      <c r="I36" s="4" t="s">
        <v>198</v>
      </c>
      <c r="J36" t="e">
        <f>VLOOKUP([1]!Table2[[#This Row],[Mapping to Existing DB Schema]],'[1]Database Schema Proposed V2'!$K:$O,5,FALSE)</f>
        <v>#N/A</v>
      </c>
      <c r="K36" t="str">
        <f>VLOOKUP([1]!Table2[[#This Row],[Mapping to Existing DB Schema]],'[1]Database Schema Proposed V2'!$Q:$R,2,FALSE)</f>
        <v>employee_employment</v>
      </c>
    </row>
    <row r="37" spans="1:11" x14ac:dyDescent="0.3">
      <c r="A37" s="5" t="s">
        <v>75</v>
      </c>
      <c r="B37" s="5" t="s">
        <v>76</v>
      </c>
      <c r="C37" s="5" t="str">
        <f>VLOOKUP([1]!Table2[[#This Row],[Column Name]],'[1]Database Schema Proposed V2'!$A:$H,8,FALSE)</f>
        <v>DATE</v>
      </c>
      <c r="D37" t="s">
        <v>234</v>
      </c>
      <c r="E37" s="5" t="s">
        <v>198</v>
      </c>
      <c r="F37" s="5" t="s">
        <v>198</v>
      </c>
      <c r="G37" s="4" t="s">
        <v>198</v>
      </c>
      <c r="H37" s="4"/>
      <c r="I37" s="4" t="s">
        <v>198</v>
      </c>
      <c r="J37" t="str">
        <f>VLOOKUP([1]!Table2[[#This Row],[Mapping to Existing DB Schema]],'[1]Database Schema Proposed V2'!$K:$O,5,FALSE)</f>
        <v>NO</v>
      </c>
      <c r="K37" t="str">
        <f>VLOOKUP([1]!Table2[[#This Row],[Mapping to Existing DB Schema]],'[1]Database Schema Proposed V2'!$Q:$R,2,FALSE)</f>
        <v>employee_onboard</v>
      </c>
    </row>
    <row r="38" spans="1:11" x14ac:dyDescent="0.3">
      <c r="A38" s="5" t="s">
        <v>77</v>
      </c>
      <c r="B38" s="5" t="s">
        <v>78</v>
      </c>
      <c r="C38" s="5" t="str">
        <f>VLOOKUP([1]!Table2[[#This Row],[Column Name]],'[1]Database Schema Proposed V2'!$A:$H,8,FALSE)</f>
        <v>VARCHAR(50)</v>
      </c>
      <c r="D38" t="s">
        <v>235</v>
      </c>
      <c r="E38" s="5" t="s">
        <v>198</v>
      </c>
      <c r="F38" s="5" t="s">
        <v>198</v>
      </c>
      <c r="G38" s="4" t="s">
        <v>198</v>
      </c>
      <c r="H38" s="4"/>
      <c r="I38" s="4" t="s">
        <v>198</v>
      </c>
      <c r="J38" t="str">
        <f>VLOOKUP([1]!Table2[[#This Row],[Mapping to Existing DB Schema]],'[1]Database Schema Proposed V2'!$K:$O,5,FALSE)</f>
        <v>NO</v>
      </c>
      <c r="K38" t="str">
        <f>VLOOKUP([1]!Table2[[#This Row],[Mapping to Existing DB Schema]],'[1]Database Schema Proposed V2'!$Q:$R,2,FALSE)</f>
        <v>employee_onboard</v>
      </c>
    </row>
    <row r="39" spans="1:11" x14ac:dyDescent="0.3">
      <c r="A39" s="5" t="s">
        <v>79</v>
      </c>
      <c r="B39" s="5" t="s">
        <v>80</v>
      </c>
      <c r="C39" s="5" t="str">
        <f>VLOOKUP([1]!Table2[[#This Row],[Column Name]],'[1]Database Schema Proposed V2'!$A:$H,8,FALSE)</f>
        <v>VARCHAR(20)</v>
      </c>
      <c r="D39" t="s">
        <v>236</v>
      </c>
      <c r="E39" s="5" t="s">
        <v>198</v>
      </c>
      <c r="F39" s="5"/>
      <c r="G39" s="4"/>
      <c r="H39" s="4"/>
      <c r="I39" s="4"/>
      <c r="J39" t="s">
        <v>201</v>
      </c>
      <c r="K39" t="str">
        <f>VLOOKUP([1]!Table2[[#This Row],[Mapping to Existing DB Schema]],'[1]Database Schema Proposed V2'!$Q:$R,2,FALSE)</f>
        <v>employee_core</v>
      </c>
    </row>
    <row r="40" spans="1:11" x14ac:dyDescent="0.3">
      <c r="A40" s="5" t="s">
        <v>81</v>
      </c>
      <c r="B40" s="5" t="s">
        <v>82</v>
      </c>
      <c r="C40" s="5" t="str">
        <f>VLOOKUP([1]!Table2[[#This Row],[Column Name]],'[1]Database Schema Proposed V2'!$A:$H,8,FALSE)</f>
        <v>VARCHAR(50)</v>
      </c>
      <c r="D40" t="s">
        <v>237</v>
      </c>
      <c r="E40" s="5" t="s">
        <v>198</v>
      </c>
      <c r="F40" s="5"/>
      <c r="G40" s="4"/>
      <c r="H40" s="4"/>
      <c r="I40" s="4"/>
      <c r="J40" t="s">
        <v>201</v>
      </c>
      <c r="K40" t="str">
        <f>VLOOKUP([1]!Table2[[#This Row],[Mapping to Existing DB Schema]],'[1]Database Schema Proposed V2'!$Q:$R,2,FALSE)</f>
        <v>employee_core</v>
      </c>
    </row>
    <row r="41" spans="1:11" x14ac:dyDescent="0.3">
      <c r="A41" s="5" t="s">
        <v>83</v>
      </c>
      <c r="B41" s="5" t="s">
        <v>84</v>
      </c>
      <c r="C41" s="5" t="str">
        <f>VLOOKUP([1]!Table2[[#This Row],[Column Name]],'[1]Database Schema Proposed V2'!$A:$H,8,FALSE)</f>
        <v>VARCHAR(100)</v>
      </c>
      <c r="D41" t="s">
        <v>238</v>
      </c>
      <c r="E41" s="5"/>
      <c r="F41" s="5" t="s">
        <v>198</v>
      </c>
      <c r="G41" s="4" t="s">
        <v>198</v>
      </c>
      <c r="H41" s="4" t="str">
        <f>VLOOKUP('Column Name'!$B41,[2]Sheet2!$D:$F,3,FALSE)</f>
        <v>Y</v>
      </c>
      <c r="I41" s="4" t="s">
        <v>198</v>
      </c>
      <c r="J41" t="str">
        <f>VLOOKUP([1]!Table2[[#This Row],[Mapping to Existing DB Schema]],'[1]Database Schema Proposed V2'!$K:$O,5,FALSE)</f>
        <v>NO</v>
      </c>
      <c r="K41" t="str">
        <f>VLOOKUP([1]!Table2[[#This Row],[Mapping to Existing DB Schema]],'[1]Database Schema Proposed V2'!$Q:$R,2,FALSE)</f>
        <v>employee_employment</v>
      </c>
    </row>
    <row r="42" spans="1:11" x14ac:dyDescent="0.3">
      <c r="A42" s="5" t="s">
        <v>85</v>
      </c>
      <c r="B42" s="5" t="s">
        <v>86</v>
      </c>
      <c r="C42" s="5" t="str">
        <f>VLOOKUP([1]!Table2[[#This Row],[Column Name]],'[1]Database Schema Proposed V2'!$A:$H,8,FALSE)</f>
        <v>VARCHAR(100)</v>
      </c>
      <c r="D42" t="s">
        <v>239</v>
      </c>
      <c r="E42" s="5"/>
      <c r="F42" s="5" t="s">
        <v>198</v>
      </c>
      <c r="G42" s="4" t="s">
        <v>198</v>
      </c>
      <c r="H42" s="4" t="str">
        <f>VLOOKUP('Column Name'!$B42,[2]Sheet2!$D:$F,3,FALSE)</f>
        <v>Y</v>
      </c>
      <c r="I42" s="4" t="s">
        <v>198</v>
      </c>
      <c r="J42" t="str">
        <f>VLOOKUP([1]!Table2[[#This Row],[Mapping to Existing DB Schema]],'[1]Database Schema Proposed V2'!$K:$O,5,FALSE)</f>
        <v>NO</v>
      </c>
      <c r="K42" t="str">
        <f>VLOOKUP([1]!Table2[[#This Row],[Mapping to Existing DB Schema]],'[1]Database Schema Proposed V2'!$Q:$R,2,FALSE)</f>
        <v>employee_employment</v>
      </c>
    </row>
    <row r="43" spans="1:11" x14ac:dyDescent="0.3">
      <c r="A43" s="5" t="s">
        <v>87</v>
      </c>
      <c r="B43" s="5" t="s">
        <v>88</v>
      </c>
      <c r="C43" s="5" t="str">
        <f>VLOOKUP([1]!Table2[[#This Row],[Column Name]],'[1]Database Schema Proposed V2'!$A:$H,8,FALSE)</f>
        <v>VARCHAR(100)</v>
      </c>
      <c r="D43" t="s">
        <v>240</v>
      </c>
      <c r="E43" s="5" t="s">
        <v>198</v>
      </c>
      <c r="F43" s="5" t="s">
        <v>198</v>
      </c>
      <c r="G43" s="4" t="s">
        <v>198</v>
      </c>
      <c r="H43" s="4" t="str">
        <f>VLOOKUP('Column Name'!$B43,[2]Sheet2!$D:$F,3,FALSE)</f>
        <v>Y</v>
      </c>
      <c r="I43" s="4" t="s">
        <v>198</v>
      </c>
      <c r="J43" t="str">
        <f>VLOOKUP([1]!Table2[[#This Row],[Mapping to Existing DB Schema]],'[1]Database Schema Proposed V2'!$K:$O,5,FALSE)</f>
        <v>NO</v>
      </c>
      <c r="K43" t="str">
        <f>VLOOKUP([1]!Table2[[#This Row],[Mapping to Existing DB Schema]],'[1]Database Schema Proposed V2'!$Q:$R,2,FALSE)</f>
        <v>employee_employment</v>
      </c>
    </row>
    <row r="44" spans="1:11" x14ac:dyDescent="0.3">
      <c r="A44" s="5" t="s">
        <v>89</v>
      </c>
      <c r="B44" s="5" t="s">
        <v>90</v>
      </c>
      <c r="C44" s="5" t="str">
        <f>VLOOKUP([1]!Table2[[#This Row],[Column Name]],'[1]Database Schema Proposed V2'!$A:$H,8,FALSE)</f>
        <v>VARCHAR(100)</v>
      </c>
      <c r="D44" t="s">
        <v>241</v>
      </c>
      <c r="E44" s="5" t="s">
        <v>198</v>
      </c>
      <c r="F44" s="5" t="s">
        <v>198</v>
      </c>
      <c r="G44" s="4" t="s">
        <v>198</v>
      </c>
      <c r="H44" s="4" t="s">
        <v>198</v>
      </c>
      <c r="I44" s="4" t="s">
        <v>198</v>
      </c>
      <c r="J44" t="str">
        <f>VLOOKUP([1]!Table2[[#This Row],[Mapping to Existing DB Schema]],'[1]Database Schema Proposed V2'!$K:$O,5,FALSE)</f>
        <v>NO</v>
      </c>
      <c r="K44" t="str">
        <f>VLOOKUP([1]!Table2[[#This Row],[Mapping to Existing DB Schema]],'[1]Database Schema Proposed V2'!$Q:$R,2,FALSE)</f>
        <v>employee_employment</v>
      </c>
    </row>
    <row r="45" spans="1:11" x14ac:dyDescent="0.3">
      <c r="A45" s="5" t="s">
        <v>91</v>
      </c>
      <c r="B45" s="5" t="s">
        <v>92</v>
      </c>
      <c r="C45" s="5" t="str">
        <f>VLOOKUP([1]!Table2[[#This Row],[Column Name]],'[1]Database Schema Proposed V2'!$A:$H,8,FALSE)</f>
        <v>VARCHAR(100)</v>
      </c>
      <c r="D45" t="s">
        <v>242</v>
      </c>
      <c r="E45" s="5" t="s">
        <v>198</v>
      </c>
      <c r="F45" s="5" t="s">
        <v>198</v>
      </c>
      <c r="G45" s="4" t="s">
        <v>198</v>
      </c>
      <c r="H45" s="4" t="s">
        <v>198</v>
      </c>
      <c r="I45" s="4" t="s">
        <v>198</v>
      </c>
      <c r="J45" t="str">
        <f>VLOOKUP([1]!Table2[[#This Row],[Mapping to Existing DB Schema]],'[1]Database Schema Proposed V2'!$K:$O,5,FALSE)</f>
        <v>NO</v>
      </c>
      <c r="K45" t="str">
        <f>VLOOKUP([1]!Table2[[#This Row],[Mapping to Existing DB Schema]],'[1]Database Schema Proposed V2'!$Q:$R,2,FALSE)</f>
        <v>employee_employment</v>
      </c>
    </row>
    <row r="46" spans="1:11" x14ac:dyDescent="0.3">
      <c r="A46" s="5" t="s">
        <v>93</v>
      </c>
      <c r="B46" s="5" t="s">
        <v>94</v>
      </c>
      <c r="C46" s="5" t="str">
        <f>VLOOKUP([1]!Table2[[#This Row],[Column Name]],'[1]Database Schema Proposed V2'!$A:$H,8,FALSE)</f>
        <v>VARCHAR(100)</v>
      </c>
      <c r="D46" t="s">
        <v>243</v>
      </c>
      <c r="E46" s="5" t="s">
        <v>198</v>
      </c>
      <c r="F46" s="5" t="s">
        <v>198</v>
      </c>
      <c r="G46" s="4" t="s">
        <v>198</v>
      </c>
      <c r="H46" s="4" t="str">
        <f>VLOOKUP('Column Name'!$B46,[2]Sheet2!$D:$F,3,FALSE)</f>
        <v>Y</v>
      </c>
      <c r="I46" s="4" t="s">
        <v>198</v>
      </c>
      <c r="J46" t="str">
        <f>VLOOKUP([1]!Table2[[#This Row],[Mapping to Existing DB Schema]],'[1]Database Schema Proposed V2'!$K:$O,5,FALSE)</f>
        <v>NO</v>
      </c>
      <c r="K46" t="str">
        <f>VLOOKUP([1]!Table2[[#This Row],[Mapping to Existing DB Schema]],'[1]Database Schema Proposed V2'!$Q:$R,2,FALSE)</f>
        <v>employee_employment</v>
      </c>
    </row>
    <row r="47" spans="1:11" x14ac:dyDescent="0.3">
      <c r="A47" s="5" t="s">
        <v>95</v>
      </c>
      <c r="B47" s="5" t="s">
        <v>96</v>
      </c>
      <c r="C47" s="5" t="str">
        <f>VLOOKUP([1]!Table2[[#This Row],[Column Name]],'[1]Database Schema Proposed V2'!$A:$H,8,FALSE)</f>
        <v>VARCHAR(100)</v>
      </c>
      <c r="D47" t="s">
        <v>244</v>
      </c>
      <c r="E47" s="5" t="s">
        <v>198</v>
      </c>
      <c r="F47" s="5" t="s">
        <v>198</v>
      </c>
      <c r="G47" s="4" t="s">
        <v>198</v>
      </c>
      <c r="H47" s="4" t="s">
        <v>198</v>
      </c>
      <c r="I47" s="4" t="s">
        <v>198</v>
      </c>
      <c r="J47" t="str">
        <f>VLOOKUP([1]!Table2[[#This Row],[Mapping to Existing DB Schema]],'[1]Database Schema Proposed V2'!$K:$O,5,FALSE)</f>
        <v>NO</v>
      </c>
      <c r="K47" t="str">
        <f>VLOOKUP([1]!Table2[[#This Row],[Mapping to Existing DB Schema]],'[1]Database Schema Proposed V2'!$Q:$R,2,FALSE)</f>
        <v>employee_employment</v>
      </c>
    </row>
    <row r="48" spans="1:11" x14ac:dyDescent="0.3">
      <c r="A48" s="5" t="s">
        <v>97</v>
      </c>
      <c r="B48" s="5" t="s">
        <v>98</v>
      </c>
      <c r="C48" s="5" t="str">
        <f>VLOOKUP([1]!Table2[[#This Row],[Column Name]],'[1]Database Schema Proposed V2'!$A:$H,8,FALSE)</f>
        <v>VARCHAR(10)</v>
      </c>
      <c r="D48" t="s">
        <v>245</v>
      </c>
      <c r="E48" s="5" t="s">
        <v>198</v>
      </c>
      <c r="F48" s="5" t="s">
        <v>198</v>
      </c>
      <c r="G48" s="4" t="s">
        <v>198</v>
      </c>
      <c r="H48" s="4" t="s">
        <v>198</v>
      </c>
      <c r="I48" s="4" t="s">
        <v>198</v>
      </c>
      <c r="J48" t="str">
        <f>VLOOKUP([1]!Table2[[#This Row],[Mapping to Existing DB Schema]],'[1]Database Schema Proposed V2'!$K:$O,5,FALSE)</f>
        <v>NO</v>
      </c>
      <c r="K48" t="str">
        <f>VLOOKUP([1]!Table2[[#This Row],[Mapping to Existing DB Schema]],'[1]Database Schema Proposed V2'!$Q:$R,2,FALSE)</f>
        <v>employee_employment</v>
      </c>
    </row>
    <row r="49" spans="1:11" x14ac:dyDescent="0.3">
      <c r="A49" s="5" t="s">
        <v>99</v>
      </c>
      <c r="B49" s="5" t="s">
        <v>100</v>
      </c>
      <c r="C49" s="5" t="str">
        <f>VLOOKUP([1]!Table2[[#This Row],[Column Name]],'[1]Database Schema Proposed V2'!$A:$H,8,FALSE)</f>
        <v>VARCHAR(50)</v>
      </c>
      <c r="D49" t="s">
        <v>246</v>
      </c>
      <c r="E49" s="5" t="s">
        <v>198</v>
      </c>
      <c r="F49" s="5" t="s">
        <v>198</v>
      </c>
      <c r="G49" s="4" t="s">
        <v>198</v>
      </c>
      <c r="H49" s="4" t="s">
        <v>198</v>
      </c>
      <c r="I49" s="4" t="s">
        <v>198</v>
      </c>
      <c r="J49" t="str">
        <f>VLOOKUP([1]!Table2[[#This Row],[Mapping to Existing DB Schema]],'[1]Database Schema Proposed V2'!$K:$O,5,FALSE)</f>
        <v>NO</v>
      </c>
      <c r="K49" t="str">
        <f>VLOOKUP([1]!Table2[[#This Row],[Mapping to Existing DB Schema]],'[1]Database Schema Proposed V2'!$Q:$R,2,FALSE)</f>
        <v>employee_employment</v>
      </c>
    </row>
    <row r="50" spans="1:11" x14ac:dyDescent="0.3">
      <c r="A50" s="5" t="s">
        <v>101</v>
      </c>
      <c r="B50" s="5" t="s">
        <v>102</v>
      </c>
      <c r="C50" s="5" t="str">
        <f>VLOOKUP([1]!Table2[[#This Row],[Column Name]],'[1]Database Schema Proposed V2'!$A:$H,8,FALSE)</f>
        <v>VARCHAR(100)</v>
      </c>
      <c r="D50" t="s">
        <v>247</v>
      </c>
      <c r="E50" s="5" t="s">
        <v>198</v>
      </c>
      <c r="F50" s="5" t="s">
        <v>198</v>
      </c>
      <c r="G50" s="4" t="s">
        <v>198</v>
      </c>
      <c r="H50" s="4" t="str">
        <f>VLOOKUP('Column Name'!$B50,[2]Sheet2!$D:$F,3,FALSE)</f>
        <v>Y</v>
      </c>
      <c r="I50" s="4" t="s">
        <v>198</v>
      </c>
      <c r="J50" t="str">
        <f>VLOOKUP([1]!Table2[[#This Row],[Mapping to Existing DB Schema]],'[1]Database Schema Proposed V2'!$K:$O,5,FALSE)</f>
        <v>NO</v>
      </c>
      <c r="K50" t="str">
        <f>VLOOKUP([1]!Table2[[#This Row],[Mapping to Existing DB Schema]],'[1]Database Schema Proposed V2'!$Q:$R,2,FALSE)</f>
        <v>employee_employment</v>
      </c>
    </row>
    <row r="51" spans="1:11" x14ac:dyDescent="0.3">
      <c r="A51" s="5" t="s">
        <v>103</v>
      </c>
      <c r="B51" s="5" t="s">
        <v>104</v>
      </c>
      <c r="C51" s="5" t="str">
        <f>VLOOKUP([1]!Table2[[#This Row],[Column Name]],'[1]Database Schema Proposed V2'!$A:$H,8,FALSE)</f>
        <v>VARCHAR(100)</v>
      </c>
      <c r="D51" t="s">
        <v>248</v>
      </c>
      <c r="E51" s="5" t="s">
        <v>198</v>
      </c>
      <c r="F51" s="5"/>
      <c r="G51" s="4" t="s">
        <v>198</v>
      </c>
      <c r="H51" s="4" t="str">
        <f>VLOOKUP('Column Name'!$B51,[2]Sheet2!$D:$F,3,FALSE)</f>
        <v>Y</v>
      </c>
      <c r="I51" s="4" t="s">
        <v>198</v>
      </c>
      <c r="J51" t="str">
        <f>VLOOKUP([1]!Table2[[#This Row],[Mapping to Existing DB Schema]],'[1]Database Schema Proposed V2'!$K:$O,5,FALSE)</f>
        <v>NO</v>
      </c>
      <c r="K51" t="str">
        <f>VLOOKUP([1]!Table2[[#This Row],[Mapping to Existing DB Schema]],'[1]Database Schema Proposed V2'!$Q:$R,2,FALSE)</f>
        <v>employee_bank</v>
      </c>
    </row>
    <row r="52" spans="1:11" x14ac:dyDescent="0.3">
      <c r="A52" s="5" t="s">
        <v>105</v>
      </c>
      <c r="B52" s="5" t="s">
        <v>106</v>
      </c>
      <c r="C52" s="5" t="str">
        <f>VLOOKUP([1]!Table2[[#This Row],[Column Name]],'[1]Database Schema Proposed V2'!$A:$H,8,FALSE)</f>
        <v>VARCHAR(100)</v>
      </c>
      <c r="D52" t="s">
        <v>210</v>
      </c>
      <c r="E52" s="5" t="s">
        <v>198</v>
      </c>
      <c r="F52" s="5"/>
      <c r="G52" s="4" t="s">
        <v>198</v>
      </c>
      <c r="H52" s="4" t="str">
        <f>VLOOKUP('Column Name'!$B52,[2]Sheet2!$D:$F,3,FALSE)</f>
        <v>Y</v>
      </c>
      <c r="I52" s="4" t="s">
        <v>198</v>
      </c>
      <c r="J52" t="str">
        <f>VLOOKUP([1]!Table2[[#This Row],[Mapping to Existing DB Schema]],'[1]Database Schema Proposed V2'!$K:$O,5,FALSE)</f>
        <v>NO</v>
      </c>
      <c r="K52" t="str">
        <f>VLOOKUP([1]!Table2[[#This Row],[Mapping to Existing DB Schema]],'[1]Database Schema Proposed V2'!$Q:$R,2,FALSE)</f>
        <v>employee_bank</v>
      </c>
    </row>
    <row r="53" spans="1:11" x14ac:dyDescent="0.3">
      <c r="A53" s="5" t="s">
        <v>107</v>
      </c>
      <c r="B53" s="5" t="s">
        <v>108</v>
      </c>
      <c r="C53" s="5" t="str">
        <f>VLOOKUP([1]!Table2[[#This Row],[Column Name]],'[1]Database Schema Proposed V2'!$A:$H,8,FALSE)</f>
        <v>VARCHAR(50)</v>
      </c>
      <c r="D53" t="s">
        <v>249</v>
      </c>
      <c r="E53" s="5" t="s">
        <v>198</v>
      </c>
      <c r="F53" s="5"/>
      <c r="G53" s="4" t="s">
        <v>198</v>
      </c>
      <c r="H53" s="4" t="str">
        <f>VLOOKUP('Column Name'!$B53,[2]Sheet2!$D:$F,3,FALSE)</f>
        <v>Y</v>
      </c>
      <c r="I53" s="4" t="s">
        <v>198</v>
      </c>
      <c r="J53" t="str">
        <f>VLOOKUP([1]!Table2[[#This Row],[Mapping to Existing DB Schema]],'[1]Database Schema Proposed V2'!$K:$O,5,FALSE)</f>
        <v>NO</v>
      </c>
      <c r="K53" t="str">
        <f>VLOOKUP([1]!Table2[[#This Row],[Mapping to Existing DB Schema]],'[1]Database Schema Proposed V2'!$Q:$R,2,FALSE)</f>
        <v>employee_bank</v>
      </c>
    </row>
    <row r="54" spans="1:11" x14ac:dyDescent="0.3">
      <c r="A54" s="5" t="s">
        <v>109</v>
      </c>
      <c r="B54" s="5" t="s">
        <v>110</v>
      </c>
      <c r="C54" s="5" t="str">
        <f>VLOOKUP([1]!Table2[[#This Row],[Column Name]],'[1]Database Schema Proposed V2'!$A:$H,8,FALSE)</f>
        <v>VARCHAR(25)</v>
      </c>
      <c r="D54" t="s">
        <v>250</v>
      </c>
      <c r="E54" s="5" t="s">
        <v>198</v>
      </c>
      <c r="F54" s="5" t="s">
        <v>198</v>
      </c>
      <c r="G54" s="4" t="s">
        <v>198</v>
      </c>
      <c r="H54" s="4" t="str">
        <f>VLOOKUP('Column Name'!$B54,[2]Sheet2!$D:$F,3,FALSE)</f>
        <v>Y</v>
      </c>
      <c r="I54" s="4" t="s">
        <v>198</v>
      </c>
      <c r="J54" t="str">
        <f>VLOOKUP([1]!Table2[[#This Row],[Mapping to Existing DB Schema]],'[1]Database Schema Proposed V2'!$K:$O,5,FALSE)</f>
        <v>NO</v>
      </c>
      <c r="K54" t="str">
        <f>VLOOKUP([1]!Table2[[#This Row],[Mapping to Existing DB Schema]],'[1]Database Schema Proposed V2'!$Q:$R,2,FALSE)</f>
        <v>employee_core</v>
      </c>
    </row>
    <row r="55" spans="1:11" x14ac:dyDescent="0.3">
      <c r="A55" s="5" t="s">
        <v>111</v>
      </c>
      <c r="B55" s="5" t="s">
        <v>112</v>
      </c>
      <c r="C55" s="5" t="str">
        <f>VLOOKUP([1]!Table2[[#This Row],[Column Name]],'[1]Database Schema Proposed V2'!$A:$H,8,FALSE)</f>
        <v>VARCHAR(30)</v>
      </c>
      <c r="D55" t="s">
        <v>251</v>
      </c>
      <c r="E55" s="5" t="s">
        <v>198</v>
      </c>
      <c r="F55" s="5" t="s">
        <v>198</v>
      </c>
      <c r="G55" s="4" t="s">
        <v>198</v>
      </c>
      <c r="H55" s="4"/>
      <c r="I55" s="4" t="s">
        <v>198</v>
      </c>
      <c r="J55" t="str">
        <f>VLOOKUP([1]!Table2[[#This Row],[Mapping to Existing DB Schema]],'[1]Database Schema Proposed V2'!$K:$O,5,FALSE)</f>
        <v>NO</v>
      </c>
      <c r="K55" t="str">
        <f>VLOOKUP([1]!Table2[[#This Row],[Mapping to Existing DB Schema]],'[1]Database Schema Proposed V2'!$Q:$R,2,FALSE)</f>
        <v>employee_insurance</v>
      </c>
    </row>
    <row r="56" spans="1:11" x14ac:dyDescent="0.3">
      <c r="A56" s="5" t="s">
        <v>113</v>
      </c>
      <c r="B56" s="5" t="s">
        <v>114</v>
      </c>
      <c r="C56" s="5" t="str">
        <f>VLOOKUP([1]!Table2[[#This Row],[Column Name]],'[1]Database Schema Proposed V2'!$A:$H,8,FALSE)</f>
        <v>VARCHAR(30)</v>
      </c>
      <c r="D56" t="s">
        <v>252</v>
      </c>
      <c r="E56" s="5" t="s">
        <v>198</v>
      </c>
      <c r="F56" s="5" t="s">
        <v>198</v>
      </c>
      <c r="G56" s="4" t="s">
        <v>198</v>
      </c>
      <c r="H56" s="4"/>
      <c r="I56" s="4" t="s">
        <v>198</v>
      </c>
      <c r="J56" t="str">
        <f>VLOOKUP([1]!Table2[[#This Row],[Mapping to Existing DB Schema]],'[1]Database Schema Proposed V2'!$K:$O,5,FALSE)</f>
        <v>NO</v>
      </c>
      <c r="K56" t="str">
        <f>VLOOKUP([1]!Table2[[#This Row],[Mapping to Existing DB Schema]],'[1]Database Schema Proposed V2'!$Q:$R,2,FALSE)</f>
        <v>employee_insurance</v>
      </c>
    </row>
    <row r="57" spans="1:11" x14ac:dyDescent="0.3">
      <c r="A57" s="5" t="s">
        <v>115</v>
      </c>
      <c r="B57" s="5" t="s">
        <v>116</v>
      </c>
      <c r="C57" s="5" t="str">
        <f>VLOOKUP([1]!Table2[[#This Row],[Column Name]],'[1]Database Schema Proposed V2'!$A:$H,8,FALSE)</f>
        <v>VARCHAR(30)</v>
      </c>
      <c r="D57" t="s">
        <v>253</v>
      </c>
      <c r="E57" s="5" t="s">
        <v>198</v>
      </c>
      <c r="F57" s="5" t="s">
        <v>198</v>
      </c>
      <c r="G57" s="4" t="s">
        <v>198</v>
      </c>
      <c r="H57" s="4" t="s">
        <v>198</v>
      </c>
      <c r="I57" s="4" t="s">
        <v>198</v>
      </c>
      <c r="J57" t="str">
        <f>VLOOKUP([1]!Table2[[#This Row],[Mapping to Existing DB Schema]],'[1]Database Schema Proposed V2'!$K:$O,5,FALSE)</f>
        <v>NO</v>
      </c>
      <c r="K57" t="str">
        <f>VLOOKUP([1]!Table2[[#This Row],[Mapping to Existing DB Schema]],'[1]Database Schema Proposed V2'!$Q:$R,2,FALSE)</f>
        <v>employee_insurance</v>
      </c>
    </row>
    <row r="58" spans="1:11" x14ac:dyDescent="0.3">
      <c r="A58" s="5" t="s">
        <v>117</v>
      </c>
      <c r="B58" s="5" t="s">
        <v>118</v>
      </c>
      <c r="C58" s="5" t="str">
        <f>VLOOKUP([1]!Table2[[#This Row],[Column Name]],'[1]Database Schema Proposed V2'!$A:$H,8,FALSE)</f>
        <v>VARCHAR(50)</v>
      </c>
      <c r="D58" t="s">
        <v>254</v>
      </c>
      <c r="E58" s="5"/>
      <c r="F58" s="5" t="s">
        <v>198</v>
      </c>
      <c r="G58" s="4" t="s">
        <v>198</v>
      </c>
      <c r="H58" s="4" t="s">
        <v>198</v>
      </c>
      <c r="I58" s="4" t="s">
        <v>198</v>
      </c>
      <c r="J58" t="str">
        <f>VLOOKUP([1]!Table2[[#This Row],[Mapping to Existing DB Schema]],'[1]Database Schema Proposed V2'!$K:$O,5,FALSE)</f>
        <v>NO</v>
      </c>
      <c r="K58" t="str">
        <f>VLOOKUP([1]!Table2[[#This Row],[Mapping to Existing DB Schema]],'[1]Database Schema Proposed V2'!$Q:$R,2,FALSE)</f>
        <v>employee_travel</v>
      </c>
    </row>
    <row r="59" spans="1:11" x14ac:dyDescent="0.3">
      <c r="A59" s="5" t="s">
        <v>119</v>
      </c>
      <c r="B59" s="5" t="s">
        <v>120</v>
      </c>
      <c r="C59" s="5" t="str">
        <f>VLOOKUP([1]!Table2[[#This Row],[Column Name]],'[1]Database Schema Proposed V2'!$A:$H,8,FALSE)</f>
        <v>VARCHAR(50)</v>
      </c>
      <c r="D59" t="s">
        <v>255</v>
      </c>
      <c r="E59" s="5"/>
      <c r="F59" s="5" t="s">
        <v>198</v>
      </c>
      <c r="G59" s="4" t="s">
        <v>198</v>
      </c>
      <c r="H59" s="4" t="s">
        <v>198</v>
      </c>
      <c r="I59" s="4" t="s">
        <v>198</v>
      </c>
      <c r="J59" t="str">
        <f>VLOOKUP([1]!Table2[[#This Row],[Mapping to Existing DB Schema]],'[1]Database Schema Proposed V2'!$K:$O,5,FALSE)</f>
        <v>NO</v>
      </c>
      <c r="K59" t="str">
        <f>VLOOKUP([1]!Table2[[#This Row],[Mapping to Existing DB Schema]],'[1]Database Schema Proposed V2'!$Q:$R,2,FALSE)</f>
        <v>employee_travel</v>
      </c>
    </row>
    <row r="60" spans="1:11" x14ac:dyDescent="0.3">
      <c r="A60" s="5" t="s">
        <v>121</v>
      </c>
      <c r="B60" s="5" t="s">
        <v>122</v>
      </c>
      <c r="C60" s="5" t="str">
        <f>VLOOKUP([1]!Table2[[#This Row],[Column Name]],'[1]Database Schema Proposed V2'!$A:$H,8,FALSE)</f>
        <v>DATE</v>
      </c>
      <c r="D60" s="2">
        <v>45413</v>
      </c>
      <c r="E60" s="5" t="s">
        <v>198</v>
      </c>
      <c r="F60" s="5" t="s">
        <v>198</v>
      </c>
      <c r="G60" s="4" t="s">
        <v>198</v>
      </c>
      <c r="H60" s="4" t="s">
        <v>198</v>
      </c>
      <c r="I60" s="4" t="s">
        <v>198</v>
      </c>
      <c r="J60" t="str">
        <f>VLOOKUP([1]!Table2[[#This Row],[Mapping to Existing DB Schema]],'[1]Database Schema Proposed V2'!$K:$O,5,FALSE)</f>
        <v>NO</v>
      </c>
      <c r="K60" t="str">
        <f>VLOOKUP([1]!Table2[[#This Row],[Mapping to Existing DB Schema]],'[1]Database Schema Proposed V2'!$Q:$R,2,FALSE)</f>
        <v>employee_travel</v>
      </c>
    </row>
    <row r="61" spans="1:11" x14ac:dyDescent="0.3">
      <c r="A61" s="5" t="s">
        <v>123</v>
      </c>
      <c r="B61" s="5" t="s">
        <v>124</v>
      </c>
      <c r="C61" s="5" t="str">
        <f>VLOOKUP([1]!Table2[[#This Row],[Column Name]],'[1]Database Schema Proposed V2'!$A:$H,8,FALSE)</f>
        <v>DATE</v>
      </c>
      <c r="D61" s="2">
        <v>45585</v>
      </c>
      <c r="E61" s="5" t="s">
        <v>198</v>
      </c>
      <c r="F61" s="5" t="s">
        <v>198</v>
      </c>
      <c r="G61" s="4" t="s">
        <v>198</v>
      </c>
      <c r="H61" s="4" t="s">
        <v>198</v>
      </c>
      <c r="I61" s="4" t="s">
        <v>198</v>
      </c>
      <c r="J61" t="str">
        <f>VLOOKUP([1]!Table2[[#This Row],[Mapping to Existing DB Schema]],'[1]Database Schema Proposed V2'!$K:$O,5,FALSE)</f>
        <v>NO</v>
      </c>
      <c r="K61" t="str">
        <f>VLOOKUP([1]!Table2[[#This Row],[Mapping to Existing DB Schema]],'[1]Database Schema Proposed V2'!$Q:$R,2,FALSE)</f>
        <v>employee_travel</v>
      </c>
    </row>
    <row r="62" spans="1:11" x14ac:dyDescent="0.3">
      <c r="A62" s="5" t="s">
        <v>125</v>
      </c>
      <c r="B62" s="5" t="s">
        <v>126</v>
      </c>
      <c r="C62" s="5" t="str">
        <f>VLOOKUP([1]!Table2[[#This Row],[Column Name]],'[1]Database Schema Proposed V2'!$A:$H,8,FALSE)</f>
        <v>VARCHAR(30)</v>
      </c>
      <c r="D62" t="s">
        <v>256</v>
      </c>
      <c r="E62" s="5" t="s">
        <v>198</v>
      </c>
      <c r="F62" s="5"/>
      <c r="G62" s="4"/>
      <c r="H62" s="4"/>
      <c r="I62" s="4"/>
      <c r="J62" t="s">
        <v>201</v>
      </c>
      <c r="K62" t="str">
        <f>VLOOKUP([1]!Table2[[#This Row],[Mapping to Existing DB Schema]],'[1]Database Schema Proposed V2'!$Q:$R,2,FALSE)</f>
        <v>employee_insurance</v>
      </c>
    </row>
    <row r="63" spans="1:11" x14ac:dyDescent="0.3">
      <c r="A63" s="5" t="s">
        <v>127</v>
      </c>
      <c r="B63" s="5" t="s">
        <v>128</v>
      </c>
      <c r="C63" s="5" t="str">
        <f>VLOOKUP([1]!Table2[[#This Row],[Column Name]],'[1]Database Schema Proposed V2'!$A:$H,8,FALSE)</f>
        <v>VARCHAR(30)</v>
      </c>
      <c r="D63" t="s">
        <v>257</v>
      </c>
      <c r="E63" s="5" t="s">
        <v>198</v>
      </c>
      <c r="F63" s="5"/>
      <c r="G63" s="4"/>
      <c r="H63" s="4"/>
      <c r="I63" s="4"/>
      <c r="J63" t="s">
        <v>201</v>
      </c>
      <c r="K63" t="str">
        <f>VLOOKUP([1]!Table2[[#This Row],[Mapping to Existing DB Schema]],'[1]Database Schema Proposed V2'!$Q:$R,2,FALSE)</f>
        <v>employee_insurance</v>
      </c>
    </row>
    <row r="64" spans="1:11" x14ac:dyDescent="0.3">
      <c r="A64" s="5" t="s">
        <v>129</v>
      </c>
      <c r="B64" s="5" t="s">
        <v>130</v>
      </c>
      <c r="C64" s="5" t="str">
        <f>VLOOKUP([1]!Table2[[#This Row],[Column Name]],'[1]Database Schema Proposed V2'!$A:$H,8,FALSE)</f>
        <v>DATE</v>
      </c>
      <c r="D64" t="s">
        <v>234</v>
      </c>
      <c r="E64" s="5" t="s">
        <v>198</v>
      </c>
      <c r="F64" s="5" t="s">
        <v>198</v>
      </c>
      <c r="G64" s="4" t="s">
        <v>198</v>
      </c>
      <c r="H64" s="4"/>
      <c r="I64" s="4" t="s">
        <v>198</v>
      </c>
      <c r="J64" t="str">
        <f>VLOOKUP([1]!Table2[[#This Row],[Mapping to Existing DB Schema]],'[1]Database Schema Proposed V2'!$K:$O,5,FALSE)</f>
        <v>NO</v>
      </c>
      <c r="K64" t="str">
        <f>VLOOKUP([1]!Table2[[#This Row],[Mapping to Existing DB Schema]],'[1]Database Schema Proposed V2'!$Q:$R,2,FALSE)</f>
        <v>employee_employment</v>
      </c>
    </row>
    <row r="65" spans="1:11" x14ac:dyDescent="0.3">
      <c r="A65" s="5" t="s">
        <v>131</v>
      </c>
      <c r="B65" s="5" t="s">
        <v>132</v>
      </c>
      <c r="C65" s="5" t="str">
        <f>VLOOKUP([1]!Table2[[#This Row],[Column Name]],'[1]Database Schema Proposed V2'!$A:$H,8,FALSE)</f>
        <v>VARCHAR(50)</v>
      </c>
      <c r="D65" t="s">
        <v>258</v>
      </c>
      <c r="E65" s="5" t="s">
        <v>198</v>
      </c>
      <c r="F65" s="5" t="s">
        <v>198</v>
      </c>
      <c r="G65" s="4" t="s">
        <v>198</v>
      </c>
      <c r="H65" s="4"/>
      <c r="I65" s="4" t="s">
        <v>198</v>
      </c>
      <c r="J65" t="str">
        <f>VLOOKUP([1]!Table2[[#This Row],[Mapping to Existing DB Schema]],'[1]Database Schema Proposed V2'!$K:$O,5,FALSE)</f>
        <v>NO</v>
      </c>
      <c r="K65" t="str">
        <f>VLOOKUP([1]!Table2[[#This Row],[Mapping to Existing DB Schema]],'[1]Database Schema Proposed V2'!$Q:$R,2,FALSE)</f>
        <v>employee_employment</v>
      </c>
    </row>
    <row r="66" spans="1:11" x14ac:dyDescent="0.3">
      <c r="A66" s="5" t="s">
        <v>133</v>
      </c>
      <c r="B66" s="5" t="s">
        <v>134</v>
      </c>
      <c r="C66" s="5" t="str">
        <f>VLOOKUP([1]!Table2[[#This Row],[Column Name]],'[1]Database Schema Proposed V2'!$A:$H,8,FALSE)</f>
        <v>VARCHAR(255)</v>
      </c>
      <c r="D66" t="s">
        <v>219</v>
      </c>
      <c r="E66" s="5" t="s">
        <v>198</v>
      </c>
      <c r="F66" s="5" t="s">
        <v>198</v>
      </c>
      <c r="G66" s="4" t="s">
        <v>198</v>
      </c>
      <c r="H66" s="4"/>
      <c r="I66" s="4" t="s">
        <v>198</v>
      </c>
      <c r="J66" t="str">
        <f>VLOOKUP([1]!Table2[[#This Row],[Mapping to Existing DB Schema]],'[1]Database Schema Proposed V2'!$K:$O,5,FALSE)</f>
        <v>NO</v>
      </c>
      <c r="K66" t="str">
        <f>VLOOKUP([1]!Table2[[#This Row],[Mapping to Existing DB Schema]],'[1]Database Schema Proposed V2'!$Q:$R,2,FALSE)</f>
        <v>employee_employment</v>
      </c>
    </row>
    <row r="67" spans="1:11" x14ac:dyDescent="0.3">
      <c r="A67" s="5" t="s">
        <v>135</v>
      </c>
      <c r="B67" s="5" t="s">
        <v>136</v>
      </c>
      <c r="C67" s="5" t="str">
        <f>VLOOKUP([1]!Table2[[#This Row],[Column Name]],'[1]Database Schema Proposed V2'!$A:$H,8,FALSE)</f>
        <v>BIT</v>
      </c>
      <c r="D67" t="s">
        <v>206</v>
      </c>
      <c r="E67" s="5" t="s">
        <v>198</v>
      </c>
      <c r="F67" s="5"/>
      <c r="G67" s="4" t="s">
        <v>198</v>
      </c>
      <c r="H67" s="4"/>
      <c r="I67" s="4" t="s">
        <v>198</v>
      </c>
      <c r="J67" t="str">
        <f>VLOOKUP([1]!Table2[[#This Row],[Mapping to Existing DB Schema]],'[1]Database Schema Proposed V2'!$K:$O,5,FALSE)</f>
        <v>NO</v>
      </c>
      <c r="K67" t="str">
        <f>VLOOKUP([1]!Table2[[#This Row],[Mapping to Existing DB Schema]],'[1]Database Schema Proposed V2'!$Q:$R,2,FALSE)</f>
        <v>employee_employment</v>
      </c>
    </row>
    <row r="68" spans="1:11" x14ac:dyDescent="0.3">
      <c r="A68" s="5" t="s">
        <v>137</v>
      </c>
      <c r="B68" s="5" t="s">
        <v>138</v>
      </c>
      <c r="C68" s="5" t="str">
        <f>VLOOKUP([1]!Table2[[#This Row],[Column Name]],'[1]Database Schema Proposed V2'!$A:$H,8,FALSE)</f>
        <v>BIT</v>
      </c>
      <c r="D68" t="s">
        <v>206</v>
      </c>
      <c r="E68" s="5" t="s">
        <v>198</v>
      </c>
      <c r="F68" s="5"/>
      <c r="G68" s="4" t="s">
        <v>198</v>
      </c>
      <c r="H68" s="4"/>
      <c r="I68" s="4" t="s">
        <v>198</v>
      </c>
      <c r="J68" t="str">
        <f>VLOOKUP([1]!Table2[[#This Row],[Mapping to Existing DB Schema]],'[1]Database Schema Proposed V2'!$K:$O,5,FALSE)</f>
        <v>NO</v>
      </c>
      <c r="K68" t="str">
        <f>VLOOKUP([1]!Table2[[#This Row],[Mapping to Existing DB Schema]],'[1]Database Schema Proposed V2'!$Q:$R,2,FALSE)</f>
        <v>employee_employment</v>
      </c>
    </row>
    <row r="69" spans="1:11" x14ac:dyDescent="0.3">
      <c r="A69" s="5" t="s">
        <v>139</v>
      </c>
      <c r="B69" s="5" t="s">
        <v>140</v>
      </c>
      <c r="C69" s="5" t="str">
        <f>VLOOKUP([1]!Table2[[#This Row],[Column Name]],'[1]Database Schema Proposed V2'!$A:$H,8,FALSE)</f>
        <v>VARCHAR(150)</v>
      </c>
      <c r="D69" s="3" t="s">
        <v>259</v>
      </c>
      <c r="E69" s="5" t="s">
        <v>198</v>
      </c>
      <c r="F69" s="5"/>
      <c r="G69" s="4"/>
      <c r="H69" s="4"/>
      <c r="I69" s="4"/>
      <c r="J69" t="s">
        <v>201</v>
      </c>
      <c r="K69" t="str">
        <f>VLOOKUP([1]!Table2[[#This Row],[Mapping to Existing DB Schema]],'[1]Database Schema Proposed V2'!$Q:$R,2,FALSE)</f>
        <v>employee_core</v>
      </c>
    </row>
    <row r="70" spans="1:11" x14ac:dyDescent="0.3">
      <c r="A70" s="5" t="s">
        <v>204</v>
      </c>
      <c r="B70" s="5" t="s">
        <v>339</v>
      </c>
      <c r="C70" s="5" t="str">
        <f>VLOOKUP([1]!Table2[[#This Row],[Column Name]],'[1]Database Schema Proposed V2'!$A:$H,8,FALSE)</f>
        <v>VARCHAR(20)</v>
      </c>
      <c r="D70" t="s">
        <v>260</v>
      </c>
      <c r="E70" s="5" t="s">
        <v>198</v>
      </c>
      <c r="F70" s="5"/>
      <c r="G70" s="4" t="s">
        <v>198</v>
      </c>
      <c r="H70" s="4"/>
      <c r="I70" s="4" t="s">
        <v>198</v>
      </c>
      <c r="J70" t="s">
        <v>201</v>
      </c>
      <c r="K70" t="str">
        <f>VLOOKUP([1]!Table2[[#This Row],[Mapping to Existing DB Schema]],'[1]Database Schema Proposed V2'!$Q:$R,2,FALSE)</f>
        <v>employee_employment</v>
      </c>
    </row>
    <row r="71" spans="1:11" x14ac:dyDescent="0.3">
      <c r="A71" s="5" t="s">
        <v>142</v>
      </c>
      <c r="B71" s="5" t="s">
        <v>143</v>
      </c>
      <c r="C71" s="5" t="str">
        <f>VLOOKUP([1]!Table2[[#This Row],[Column Name]],'[1]Database Schema Proposed V2'!$A:$H,8,FALSE)</f>
        <v>VARCHAR(30)</v>
      </c>
      <c r="D71" t="s">
        <v>261</v>
      </c>
      <c r="E71" s="5" t="s">
        <v>198</v>
      </c>
      <c r="F71" s="5"/>
      <c r="G71" s="4"/>
      <c r="H71" s="4"/>
      <c r="I71" s="4"/>
      <c r="J71" t="s">
        <v>201</v>
      </c>
      <c r="K71" t="str">
        <f>VLOOKUP([1]!Table2[[#This Row],[Mapping to Existing DB Schema]],'[1]Database Schema Proposed V2'!$Q:$R,2,FALSE)</f>
        <v>employee_insurance</v>
      </c>
    </row>
    <row r="72" spans="1:11" x14ac:dyDescent="0.3">
      <c r="A72" s="5" t="s">
        <v>144</v>
      </c>
      <c r="B72" s="5" t="s">
        <v>145</v>
      </c>
      <c r="C72" s="5" t="str">
        <f>VLOOKUP([1]!Table2[[#This Row],[Column Name]],'[1]Database Schema Proposed V2'!$A:$H,8,FALSE)</f>
        <v>VARCHAR(30)</v>
      </c>
      <c r="D72" t="s">
        <v>262</v>
      </c>
      <c r="E72" s="5" t="s">
        <v>198</v>
      </c>
      <c r="F72" s="5"/>
      <c r="G72" s="4"/>
      <c r="H72" s="4"/>
      <c r="I72" s="4"/>
      <c r="J72" t="s">
        <v>201</v>
      </c>
      <c r="K72" t="str">
        <f>VLOOKUP([1]!Table2[[#This Row],[Mapping to Existing DB Schema]],'[1]Database Schema Proposed V2'!$Q:$R,2,FALSE)</f>
        <v>employee_insurance</v>
      </c>
    </row>
    <row r="73" spans="1:11" x14ac:dyDescent="0.3">
      <c r="A73" s="5" t="s">
        <v>146</v>
      </c>
      <c r="B73" s="5" t="s">
        <v>147</v>
      </c>
      <c r="C73" s="5" t="str">
        <f>VLOOKUP([1]!Table2[[#This Row],[Column Name]],'[1]Database Schema Proposed V2'!$A:$H,8,FALSE)</f>
        <v>VARCHAR(15)</v>
      </c>
      <c r="D73" t="s">
        <v>263</v>
      </c>
      <c r="E73" s="5" t="s">
        <v>198</v>
      </c>
      <c r="F73" s="5"/>
      <c r="G73" s="4"/>
      <c r="H73" s="4"/>
      <c r="I73" s="4"/>
      <c r="J73" t="s">
        <v>201</v>
      </c>
      <c r="K73" t="str">
        <f>VLOOKUP([1]!Table2[[#This Row],[Mapping to Existing DB Schema]],'[1]Database Schema Proposed V2'!$Q:$R,2,FALSE)</f>
        <v>employee_core</v>
      </c>
    </row>
    <row r="74" spans="1:11" x14ac:dyDescent="0.3">
      <c r="A74" s="5" t="s">
        <v>148</v>
      </c>
      <c r="B74" s="5" t="s">
        <v>149</v>
      </c>
      <c r="C74" s="5" t="str">
        <f>VLOOKUP([1]!Table2[[#This Row],[Column Name]],'[1]Database Schema Proposed V2'!$A:$H,8,FALSE)</f>
        <v>BIT</v>
      </c>
      <c r="D74" t="s">
        <v>207</v>
      </c>
      <c r="E74" s="5"/>
      <c r="F74" s="5" t="s">
        <v>198</v>
      </c>
      <c r="G74" s="4"/>
      <c r="H74" s="4"/>
      <c r="I74" s="4"/>
      <c r="J74" t="s">
        <v>201</v>
      </c>
      <c r="K74" t="str">
        <f>VLOOKUP([1]!Table2[[#This Row],[Mapping to Existing DB Schema]],'[1]Database Schema Proposed V2'!$Q:$R,2,FALSE)</f>
        <v>employee_core</v>
      </c>
    </row>
    <row r="75" spans="1:11" x14ac:dyDescent="0.3">
      <c r="A75" s="5" t="s">
        <v>150</v>
      </c>
      <c r="B75" s="5" t="s">
        <v>151</v>
      </c>
      <c r="C75" s="5" t="str">
        <f>VLOOKUP([1]!Table2[[#This Row],[Column Name]],'[1]Database Schema Proposed V2'!$A:$H,8,FALSE)</f>
        <v>VARCHAR(100)</v>
      </c>
      <c r="D75" t="s">
        <v>264</v>
      </c>
      <c r="E75" s="5"/>
      <c r="F75" s="5" t="s">
        <v>198</v>
      </c>
      <c r="G75" s="4"/>
      <c r="H75" s="4"/>
      <c r="I75" s="4"/>
      <c r="J75" t="s">
        <v>201</v>
      </c>
      <c r="K75" t="str">
        <f>VLOOKUP([1]!Table2[[#This Row],[Mapping to Existing DB Schema]],'[1]Database Schema Proposed V2'!$Q:$R,2,FALSE)</f>
        <v>employee_core</v>
      </c>
    </row>
    <row r="76" spans="1:11" x14ac:dyDescent="0.3">
      <c r="A76" s="5" t="s">
        <v>152</v>
      </c>
      <c r="B76" s="5" t="s">
        <v>153</v>
      </c>
      <c r="C76" s="5" t="str">
        <f>VLOOKUP([1]!Table2[[#This Row],[Column Name]],'[1]Database Schema Proposed V2'!$A:$H,8,FALSE)</f>
        <v>VARCHAR(20)</v>
      </c>
      <c r="D76" t="s">
        <v>265</v>
      </c>
      <c r="E76" s="5"/>
      <c r="F76" s="5" t="s">
        <v>198</v>
      </c>
      <c r="G76" s="4"/>
      <c r="H76" s="4"/>
      <c r="I76" s="4"/>
      <c r="J76" t="s">
        <v>201</v>
      </c>
      <c r="K76" t="str">
        <f>VLOOKUP([1]!Table2[[#This Row],[Mapping to Existing DB Schema]],'[1]Database Schema Proposed V2'!$Q:$R,2,FALSE)</f>
        <v>employee_bank</v>
      </c>
    </row>
    <row r="77" spans="1:11" x14ac:dyDescent="0.3">
      <c r="A77" s="5" t="s">
        <v>154</v>
      </c>
      <c r="B77" s="5" t="s">
        <v>155</v>
      </c>
      <c r="C77" s="5" t="str">
        <f>VLOOKUP([1]!Table2[[#This Row],[Column Name]],'[1]Database Schema Proposed V2'!$A:$H,8,FALSE)</f>
        <v>VARCHAR(50)</v>
      </c>
      <c r="D77" t="s">
        <v>266</v>
      </c>
      <c r="E77" s="5"/>
      <c r="F77" s="5" t="s">
        <v>198</v>
      </c>
      <c r="G77" s="4"/>
      <c r="H77" s="4"/>
      <c r="I77" s="4"/>
      <c r="J77" t="s">
        <v>201</v>
      </c>
      <c r="K77" t="str">
        <f>VLOOKUP([1]!Table2[[#This Row],[Mapping to Existing DB Schema]],'[1]Database Schema Proposed V2'!$Q:$R,2,FALSE)</f>
        <v>employee_bank</v>
      </c>
    </row>
    <row r="78" spans="1:11" x14ac:dyDescent="0.3">
      <c r="A78" s="5" t="s">
        <v>156</v>
      </c>
      <c r="B78" s="5" t="s">
        <v>157</v>
      </c>
      <c r="C78" s="5" t="str">
        <f>VLOOKUP([1]!Table2[[#This Row],[Column Name]],'[1]Database Schema Proposed V2'!$A:$H,8,FALSE)</f>
        <v>VARCHAR(100)</v>
      </c>
      <c r="D78" t="s">
        <v>267</v>
      </c>
      <c r="E78" s="5"/>
      <c r="F78" s="5" t="s">
        <v>198</v>
      </c>
      <c r="G78" s="4"/>
      <c r="H78" s="4"/>
      <c r="I78" s="4"/>
      <c r="J78" t="s">
        <v>201</v>
      </c>
      <c r="K78" t="str">
        <f>VLOOKUP([1]!Table2[[#This Row],[Mapping to Existing DB Schema]],'[1]Database Schema Proposed V2'!$Q:$R,2,FALSE)</f>
        <v>employee_travel</v>
      </c>
    </row>
    <row r="79" spans="1:11" x14ac:dyDescent="0.3">
      <c r="A79" s="5" t="s">
        <v>158</v>
      </c>
      <c r="B79" s="5" t="s">
        <v>159</v>
      </c>
      <c r="C79" s="5" t="str">
        <f>VLOOKUP([1]!Table2[[#This Row],[Column Name]],'[1]Database Schema Proposed V2'!$A:$H,8,FALSE)</f>
        <v>VARCHAR(150)</v>
      </c>
      <c r="D79" s="3" t="s">
        <v>268</v>
      </c>
      <c r="E79" s="5"/>
      <c r="F79" s="5" t="s">
        <v>198</v>
      </c>
      <c r="G79" s="4" t="s">
        <v>198</v>
      </c>
      <c r="H79" s="4" t="s">
        <v>198</v>
      </c>
      <c r="I79" s="4" t="s">
        <v>198</v>
      </c>
      <c r="J79" t="str">
        <f>VLOOKUP([1]!Table2[[#This Row],[Mapping to Existing DB Schema]],'[1]Database Schema Proposed V2'!$K:$O,5,FALSE)</f>
        <v>NO</v>
      </c>
      <c r="K79" t="str">
        <f>VLOOKUP([1]!Table2[[#This Row],[Mapping to Existing DB Schema]],'[1]Database Schema Proposed V2'!$Q:$R,2,FALSE)</f>
        <v>employee_contact</v>
      </c>
    </row>
    <row r="80" spans="1:11" x14ac:dyDescent="0.3">
      <c r="A80" s="5" t="s">
        <v>160</v>
      </c>
      <c r="B80" s="5" t="s">
        <v>161</v>
      </c>
      <c r="C80" s="5" t="str">
        <f>VLOOKUP([1]!Table2[[#This Row],[Column Name]],'[1]Database Schema Proposed V2'!$A:$H,8,FALSE)</f>
        <v>DATE</v>
      </c>
      <c r="D80" s="2">
        <v>47766</v>
      </c>
      <c r="E80" s="5"/>
      <c r="F80" s="5" t="s">
        <v>198</v>
      </c>
      <c r="G80" s="4"/>
      <c r="H80" s="4"/>
      <c r="I80" s="4"/>
      <c r="J80" t="s">
        <v>201</v>
      </c>
      <c r="K80" t="str">
        <f>VLOOKUP([1]!Table2[[#This Row],[Mapping to Existing DB Schema]],'[1]Database Schema Proposed V2'!$Q:$R,2,FALSE)</f>
        <v>employee_travel</v>
      </c>
    </row>
    <row r="81" spans="1:11" x14ac:dyDescent="0.3">
      <c r="A81" s="5" t="s">
        <v>162</v>
      </c>
      <c r="B81" s="5" t="s">
        <v>163</v>
      </c>
      <c r="C81" s="5" t="str">
        <f>VLOOKUP([1]!Table2[[#This Row],[Column Name]],'[1]Database Schema Proposed V2'!$A:$H,8,FALSE)</f>
        <v>DATE</v>
      </c>
      <c r="D81" s="2">
        <v>46023</v>
      </c>
      <c r="E81" s="5"/>
      <c r="F81" s="5" t="s">
        <v>198</v>
      </c>
      <c r="G81" s="4"/>
      <c r="H81" s="4"/>
      <c r="I81" s="4"/>
      <c r="J81" t="s">
        <v>201</v>
      </c>
      <c r="K81" t="str">
        <f>VLOOKUP([1]!Table2[[#This Row],[Mapping to Existing DB Schema]],'[1]Database Schema Proposed V2'!$Q:$R,2,FALSE)</f>
        <v>employee_travel</v>
      </c>
    </row>
    <row r="82" spans="1:11" x14ac:dyDescent="0.3">
      <c r="A82" s="5" t="s">
        <v>164</v>
      </c>
      <c r="B82" s="5" t="s">
        <v>165</v>
      </c>
      <c r="C82" s="5" t="str">
        <f>VLOOKUP([1]!Table2[[#This Row],[Column Name]],'[1]Database Schema Proposed V2'!$A:$H,8,FALSE)</f>
        <v>VARCHAR(50)</v>
      </c>
      <c r="D82" t="s">
        <v>269</v>
      </c>
      <c r="E82" s="5"/>
      <c r="F82" s="5" t="s">
        <v>198</v>
      </c>
      <c r="G82" s="4"/>
      <c r="H82" s="4"/>
      <c r="I82" s="4"/>
      <c r="J82" t="s">
        <v>201</v>
      </c>
      <c r="K82" t="str">
        <f>VLOOKUP([1]!Table2[[#This Row],[Mapping to Existing DB Schema]],'[1]Database Schema Proposed V2'!$Q:$R,2,FALSE)</f>
        <v>employee_travel</v>
      </c>
    </row>
    <row r="83" spans="1:11" x14ac:dyDescent="0.3">
      <c r="A83" s="5" t="s">
        <v>166</v>
      </c>
      <c r="B83" s="5" t="s">
        <v>167</v>
      </c>
      <c r="C83" s="5" t="str">
        <f>VLOOKUP([1]!Table2[[#This Row],[Column Name]],'[1]Database Schema Proposed V2'!$A:$H,8,FALSE)</f>
        <v>VARCHAR(50)</v>
      </c>
      <c r="D83" t="s">
        <v>270</v>
      </c>
      <c r="E83" s="5"/>
      <c r="F83" s="5" t="s">
        <v>198</v>
      </c>
      <c r="G83" s="4"/>
      <c r="H83" s="4"/>
      <c r="I83" s="4"/>
      <c r="J83" t="s">
        <v>201</v>
      </c>
      <c r="K83" t="str">
        <f>VLOOKUP([1]!Table2[[#This Row],[Mapping to Existing DB Schema]],'[1]Database Schema Proposed V2'!$Q:$R,2,FALSE)</f>
        <v>employee_travel</v>
      </c>
    </row>
    <row r="84" spans="1:11" x14ac:dyDescent="0.3">
      <c r="A84" s="5" t="s">
        <v>168</v>
      </c>
      <c r="B84" s="5" t="s">
        <v>169</v>
      </c>
      <c r="C84" s="5" t="str">
        <f>VLOOKUP([1]!Table2[[#This Row],[Column Name]],'[1]Database Schema Proposed V2'!$A:$H,8,FALSE)</f>
        <v>VARCHAR(100)</v>
      </c>
      <c r="D84" t="s">
        <v>271</v>
      </c>
      <c r="E84" s="5"/>
      <c r="F84" s="5" t="s">
        <v>198</v>
      </c>
      <c r="G84" s="4"/>
      <c r="H84" s="4"/>
      <c r="I84" s="4"/>
      <c r="J84" t="s">
        <v>201</v>
      </c>
      <c r="K84" t="str">
        <f>VLOOKUP([1]!Table2[[#This Row],[Mapping to Existing DB Schema]],'[1]Database Schema Proposed V2'!$Q:$R,2,FALSE)</f>
        <v>employee_travel</v>
      </c>
    </row>
    <row r="85" spans="1:11" x14ac:dyDescent="0.3">
      <c r="A85" s="5" t="s">
        <v>170</v>
      </c>
      <c r="B85" s="5" t="s">
        <v>171</v>
      </c>
      <c r="C85" s="5" t="str">
        <f>VLOOKUP([1]!Table2[[#This Row],[Column Name]],'[1]Database Schema Proposed V2'!$A:$H,8,FALSE)</f>
        <v>VARCHAR(255)</v>
      </c>
      <c r="D85" t="s">
        <v>272</v>
      </c>
      <c r="E85" s="5"/>
      <c r="F85" s="5" t="s">
        <v>198</v>
      </c>
      <c r="G85" s="4"/>
      <c r="H85" s="4"/>
      <c r="I85" s="4"/>
      <c r="J85" t="s">
        <v>201</v>
      </c>
      <c r="K85" t="str">
        <f>VLOOKUP([1]!Table2[[#This Row],[Mapping to Existing DB Schema]],'[1]Database Schema Proposed V2'!$Q:$R,2,FALSE)</f>
        <v>employee_travel</v>
      </c>
    </row>
    <row r="86" spans="1:11" x14ac:dyDescent="0.3">
      <c r="A86" s="5" t="s">
        <v>172</v>
      </c>
      <c r="B86" s="5" t="s">
        <v>173</v>
      </c>
      <c r="C86" s="5" t="str">
        <f>VLOOKUP([1]!Table2[[#This Row],[Column Name]],'[1]Database Schema Proposed V2'!$A:$H,8,FALSE)</f>
        <v>VARCHAR(100)</v>
      </c>
      <c r="D86" t="s">
        <v>273</v>
      </c>
      <c r="E86" s="5"/>
      <c r="F86" s="5" t="s">
        <v>198</v>
      </c>
      <c r="G86" s="4"/>
      <c r="H86" s="4"/>
      <c r="I86" s="4"/>
      <c r="J86" t="s">
        <v>201</v>
      </c>
      <c r="K86" t="str">
        <f>VLOOKUP([1]!Table2[[#This Row],[Mapping to Existing DB Schema]],'[1]Database Schema Proposed V2'!$Q:$R,2,FALSE)</f>
        <v>employee_travel</v>
      </c>
    </row>
    <row r="87" spans="1:11" x14ac:dyDescent="0.3">
      <c r="A87" s="5" t="s">
        <v>174</v>
      </c>
      <c r="B87" s="5" t="s">
        <v>175</v>
      </c>
      <c r="C87" s="5" t="str">
        <f>VLOOKUP([1]!Table2[[#This Row],[Column Name]],'[1]Database Schema Proposed V2'!$A:$H,8,FALSE)</f>
        <v>VARCHAR(50)</v>
      </c>
      <c r="D87" t="s">
        <v>274</v>
      </c>
      <c r="E87" s="5"/>
      <c r="F87" s="5" t="s">
        <v>198</v>
      </c>
      <c r="G87" s="4"/>
      <c r="H87" s="4"/>
      <c r="I87" s="4"/>
      <c r="J87" t="s">
        <v>201</v>
      </c>
      <c r="K87" t="str">
        <f>VLOOKUP([1]!Table2[[#This Row],[Mapping to Existing DB Schema]],'[1]Database Schema Proposed V2'!$Q:$R,2,FALSE)</f>
        <v>employee_bank</v>
      </c>
    </row>
    <row r="88" spans="1:11" x14ac:dyDescent="0.3">
      <c r="A88" s="5" t="s">
        <v>176</v>
      </c>
      <c r="B88" s="5" t="s">
        <v>177</v>
      </c>
      <c r="C88" s="5" t="str">
        <f>VLOOKUP([1]!Table2[[#This Row],[Column Name]],'[1]Database Schema Proposed V2'!$A:$H,8,FALSE)</f>
        <v>VARCHAR(20)</v>
      </c>
      <c r="D88" t="s">
        <v>275</v>
      </c>
      <c r="E88" s="5"/>
      <c r="F88" s="5" t="s">
        <v>198</v>
      </c>
      <c r="G88" s="4"/>
      <c r="H88" s="4"/>
      <c r="I88" s="4"/>
      <c r="J88" t="s">
        <v>201</v>
      </c>
      <c r="K88" t="str">
        <f>VLOOKUP([1]!Table2[[#This Row],[Mapping to Existing DB Schema]],'[1]Database Schema Proposed V2'!$Q:$R,2,FALSE)</f>
        <v>employee_notes</v>
      </c>
    </row>
    <row r="89" spans="1:11" x14ac:dyDescent="0.3">
      <c r="A89" s="5" t="s">
        <v>178</v>
      </c>
      <c r="B89" s="5" t="s">
        <v>179</v>
      </c>
      <c r="C89" s="5" t="str">
        <f>VLOOKUP([1]!Table2[[#This Row],[Column Name]],'[1]Database Schema Proposed V2'!$A:$H,8,FALSE)</f>
        <v>TEXT</v>
      </c>
      <c r="D89" t="s">
        <v>276</v>
      </c>
      <c r="E89" s="5"/>
      <c r="F89" s="5" t="s">
        <v>198</v>
      </c>
      <c r="G89" s="4"/>
      <c r="H89" s="4"/>
      <c r="I89" s="4"/>
      <c r="J89" t="s">
        <v>201</v>
      </c>
      <c r="K89" t="str">
        <f>VLOOKUP([1]!Table2[[#This Row],[Mapping to Existing DB Schema]],'[1]Database Schema Proposed V2'!$Q:$R,2,FALSE)</f>
        <v>employee_notes</v>
      </c>
    </row>
    <row r="90" spans="1:11" x14ac:dyDescent="0.3">
      <c r="A90" s="5" t="s">
        <v>180</v>
      </c>
      <c r="B90" s="5" t="s">
        <v>181</v>
      </c>
      <c r="C90" s="5" t="str">
        <f>VLOOKUP([1]!Table2[[#This Row],[Column Name]],'[1]Database Schema Proposed V2'!$A:$H,8,FALSE)</f>
        <v>BIT</v>
      </c>
      <c r="D90" t="s">
        <v>206</v>
      </c>
      <c r="E90" s="5"/>
      <c r="F90" s="5" t="s">
        <v>198</v>
      </c>
      <c r="G90" s="4"/>
      <c r="H90" s="4"/>
      <c r="I90" s="4"/>
      <c r="J90" t="s">
        <v>201</v>
      </c>
      <c r="K90" t="str">
        <f>VLOOKUP([1]!Table2[[#This Row],[Mapping to Existing DB Schema]],'[1]Database Schema Proposed V2'!$Q:$R,2,FALSE)</f>
        <v>employee_checklist</v>
      </c>
    </row>
    <row r="91" spans="1:11" x14ac:dyDescent="0.3">
      <c r="A91" s="5" t="s">
        <v>182</v>
      </c>
      <c r="B91" s="5" t="s">
        <v>183</v>
      </c>
      <c r="C91" s="5" t="str">
        <f>VLOOKUP([1]!Table2[[#This Row],[Column Name]],'[1]Database Schema Proposed V2'!$A:$H,8,FALSE)</f>
        <v>BIT</v>
      </c>
      <c r="D91" t="s">
        <v>206</v>
      </c>
      <c r="E91" s="5"/>
      <c r="F91" s="5" t="s">
        <v>198</v>
      </c>
      <c r="G91" s="4"/>
      <c r="H91" s="4"/>
      <c r="I91" s="4"/>
      <c r="J91" t="s">
        <v>201</v>
      </c>
      <c r="K91" t="str">
        <f>VLOOKUP([1]!Table2[[#This Row],[Mapping to Existing DB Schema]],'[1]Database Schema Proposed V2'!$Q:$R,2,FALSE)</f>
        <v>employee_checklist</v>
      </c>
    </row>
    <row r="92" spans="1:11" x14ac:dyDescent="0.3">
      <c r="A92" s="5" t="s">
        <v>184</v>
      </c>
      <c r="B92" s="5" t="s">
        <v>185</v>
      </c>
      <c r="C92" s="5" t="str">
        <f>VLOOKUP([1]!Table2[[#This Row],[Column Name]],'[1]Database Schema Proposed V2'!$A:$H,8,FALSE)</f>
        <v>BIT</v>
      </c>
      <c r="D92" t="s">
        <v>206</v>
      </c>
      <c r="E92" s="5"/>
      <c r="F92" s="5" t="s">
        <v>198</v>
      </c>
      <c r="G92" s="4"/>
      <c r="H92" s="4"/>
      <c r="I92" s="4"/>
      <c r="J92" t="s">
        <v>201</v>
      </c>
      <c r="K92" t="str">
        <f>VLOOKUP([1]!Table2[[#This Row],[Mapping to Existing DB Schema]],'[1]Database Schema Proposed V2'!$Q:$R,2,FALSE)</f>
        <v>employee_checklist</v>
      </c>
    </row>
    <row r="93" spans="1:11" x14ac:dyDescent="0.3">
      <c r="A93" s="5" t="s">
        <v>186</v>
      </c>
      <c r="B93" s="5" t="s">
        <v>187</v>
      </c>
      <c r="C93" s="5" t="str">
        <f>VLOOKUP([1]!Table2[[#This Row],[Column Name]],'[1]Database Schema Proposed V2'!$A:$H,8,FALSE)</f>
        <v>BIT</v>
      </c>
      <c r="D93" t="s">
        <v>206</v>
      </c>
      <c r="E93" s="5"/>
      <c r="F93" s="5" t="s">
        <v>198</v>
      </c>
      <c r="G93" s="4"/>
      <c r="H93" s="4"/>
      <c r="I93" s="4"/>
      <c r="J93" t="s">
        <v>201</v>
      </c>
      <c r="K93" t="str">
        <f>VLOOKUP([1]!Table2[[#This Row],[Mapping to Existing DB Schema]],'[1]Database Schema Proposed V2'!$Q:$R,2,FALSE)</f>
        <v>employee_checklist</v>
      </c>
    </row>
    <row r="94" spans="1:11" x14ac:dyDescent="0.3">
      <c r="A94" s="5" t="s">
        <v>188</v>
      </c>
      <c r="B94" s="5" t="s">
        <v>189</v>
      </c>
      <c r="C94" s="5" t="str">
        <f>VLOOKUP([1]!Table2[[#This Row],[Column Name]],'[1]Database Schema Proposed V2'!$A:$H,8,FALSE)</f>
        <v>BIT</v>
      </c>
      <c r="D94" t="s">
        <v>206</v>
      </c>
      <c r="E94" s="5"/>
      <c r="F94" s="5" t="s">
        <v>198</v>
      </c>
      <c r="G94" s="4"/>
      <c r="H94" s="4"/>
      <c r="I94" s="4"/>
      <c r="J94" t="s">
        <v>201</v>
      </c>
      <c r="K94" t="str">
        <f>VLOOKUP([1]!Table2[[#This Row],[Mapping to Existing DB Schema]],'[1]Database Schema Proposed V2'!$Q:$R,2,FALSE)</f>
        <v>employee_checklist</v>
      </c>
    </row>
    <row r="95" spans="1:11" x14ac:dyDescent="0.3">
      <c r="A95" s="5" t="s">
        <v>190</v>
      </c>
      <c r="B95" s="5" t="s">
        <v>191</v>
      </c>
      <c r="C95" s="5" t="str">
        <f>VLOOKUP([1]!Table2[[#This Row],[Column Name]],'[1]Database Schema Proposed V2'!$A:$H,8,FALSE)</f>
        <v>BIT</v>
      </c>
      <c r="D95" t="s">
        <v>206</v>
      </c>
      <c r="E95" s="5"/>
      <c r="F95" s="5" t="s">
        <v>198</v>
      </c>
      <c r="G95" s="4"/>
      <c r="H95" s="4"/>
      <c r="I95" s="4"/>
      <c r="J95" t="s">
        <v>201</v>
      </c>
      <c r="K95" t="str">
        <f>VLOOKUP([1]!Table2[[#This Row],[Mapping to Existing DB Schema]],'[1]Database Schema Proposed V2'!$Q:$R,2,FALSE)</f>
        <v>employee_checklist</v>
      </c>
    </row>
    <row r="96" spans="1:11" x14ac:dyDescent="0.3">
      <c r="A96" s="5" t="s">
        <v>192</v>
      </c>
      <c r="B96" s="5" t="s">
        <v>193</v>
      </c>
      <c r="C96" s="5" t="str">
        <f>VLOOKUP([1]!Table2[[#This Row],[Column Name]],'[1]Database Schema Proposed V2'!$A:$H,8,FALSE)</f>
        <v>BIT</v>
      </c>
      <c r="D96" t="s">
        <v>206</v>
      </c>
      <c r="E96" s="5"/>
      <c r="F96" s="5" t="s">
        <v>198</v>
      </c>
      <c r="G96" s="4"/>
      <c r="H96" s="4"/>
      <c r="I96" s="4"/>
      <c r="J96" t="s">
        <v>201</v>
      </c>
      <c r="K96" t="str">
        <f>VLOOKUP([1]!Table2[[#This Row],[Mapping to Existing DB Schema]],'[1]Database Schema Proposed V2'!$Q:$R,2,FALSE)</f>
        <v>employee_checklist</v>
      </c>
    </row>
    <row r="97" spans="1:11" x14ac:dyDescent="0.3">
      <c r="A97" s="6" t="s">
        <v>194</v>
      </c>
      <c r="B97" s="6" t="s">
        <v>195</v>
      </c>
      <c r="C97" s="5" t="str">
        <f>VLOOKUP([1]!Table2[[#This Row],[Column Name]],'[1]Database Schema Proposed V2'!$A:$H,8,FALSE)</f>
        <v>BIT</v>
      </c>
      <c r="D97" t="s">
        <v>206</v>
      </c>
      <c r="E97" s="5"/>
      <c r="F97" s="5" t="s">
        <v>198</v>
      </c>
      <c r="G97" s="7"/>
      <c r="H97" s="7"/>
      <c r="I97" s="7"/>
      <c r="J97" t="s">
        <v>201</v>
      </c>
      <c r="K97" t="str">
        <f>VLOOKUP([1]!Table2[[#This Row],[Mapping to Existing DB Schema]],'[1]Database Schema Proposed V2'!$Q:$R,2,FALSE)</f>
        <v>employee_checklist</v>
      </c>
    </row>
    <row r="98" spans="1:11" x14ac:dyDescent="0.3">
      <c r="A98" s="5" t="s">
        <v>205</v>
      </c>
      <c r="B98" s="5" t="s">
        <v>141</v>
      </c>
      <c r="C98" s="5" t="str">
        <f>VLOOKUP([1]!Table2[[#This Row],[Column Name]],'[1]Database Schema Proposed V2'!$A:$H,8,FALSE)</f>
        <v>VARCHAR(20)</v>
      </c>
      <c r="D98" t="s">
        <v>277</v>
      </c>
      <c r="E98" s="5"/>
      <c r="F98" s="5"/>
      <c r="G98" s="4"/>
      <c r="H98" s="4"/>
      <c r="I98" s="4"/>
      <c r="J98" s="4" t="s">
        <v>278</v>
      </c>
      <c r="K98" s="4" t="str">
        <f>VLOOKUP([1]!Table2[[#This Row],[Mapping to Existing DB Schema]],'[1]Database Schema Proposed V2'!$Q:$R,2,FALSE)</f>
        <v>employee_employment</v>
      </c>
    </row>
  </sheetData>
  <hyperlinks>
    <hyperlink ref="D69" r:id="rId1" display="mailto:andi.saputra@merdekabattery.com" xr:uid="{6FA54ED0-9704-4E25-BB42-5C738B249C1D}"/>
    <hyperlink ref="D79" r:id="rId2" display="mailto:andi@gmail.com" xr:uid="{07EC7B4B-8293-4226-AA55-3A3B7D56805C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61A0-65C6-4758-A0A3-2C5BEFCBF1EA}">
  <dimension ref="A1:V98"/>
  <sheetViews>
    <sheetView tabSelected="1" workbookViewId="0">
      <selection sqref="A1:H97"/>
    </sheetView>
  </sheetViews>
  <sheetFormatPr defaultRowHeight="14.4" x14ac:dyDescent="0.3"/>
  <cols>
    <col min="1" max="1" width="27.77734375" bestFit="1" customWidth="1"/>
    <col min="2" max="2" width="14.109375" bestFit="1" customWidth="1"/>
    <col min="3" max="3" width="15.5546875" bestFit="1" customWidth="1"/>
    <col min="4" max="4" width="14.21875" bestFit="1" customWidth="1"/>
    <col min="5" max="5" width="15.6640625" bestFit="1" customWidth="1"/>
    <col min="6" max="6" width="12.77734375" hidden="1" customWidth="1"/>
    <col min="7" max="7" width="0" hidden="1" customWidth="1"/>
    <col min="8" max="8" width="25.77734375" customWidth="1"/>
    <col min="9" max="9" width="20.33203125" bestFit="1" customWidth="1"/>
    <col min="16" max="16" width="27.77734375" bestFit="1" customWidth="1"/>
    <col min="17" max="17" width="27.109375" bestFit="1" customWidth="1"/>
    <col min="18" max="18" width="111.5546875" bestFit="1" customWidth="1"/>
  </cols>
  <sheetData>
    <row r="1" spans="1:22" x14ac:dyDescent="0.3">
      <c r="A1" s="8" t="s">
        <v>0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9" t="s">
        <v>199</v>
      </c>
      <c r="I1" s="8" t="s">
        <v>285</v>
      </c>
      <c r="J1" s="8" t="s">
        <v>286</v>
      </c>
      <c r="K1" s="8" t="s">
        <v>1</v>
      </c>
      <c r="L1" s="8" t="s">
        <v>287</v>
      </c>
      <c r="M1" s="8" t="s">
        <v>288</v>
      </c>
      <c r="N1" s="8" t="s">
        <v>289</v>
      </c>
      <c r="O1" s="8" t="s">
        <v>200</v>
      </c>
      <c r="P1" s="8" t="s">
        <v>0</v>
      </c>
      <c r="Q1" s="8" t="s">
        <v>1</v>
      </c>
      <c r="R1" s="8" t="s">
        <v>287</v>
      </c>
      <c r="S1" s="8" t="s">
        <v>2</v>
      </c>
      <c r="T1" s="8" t="s">
        <v>3</v>
      </c>
      <c r="U1" s="8" t="s">
        <v>4</v>
      </c>
      <c r="V1" s="8" t="s">
        <v>290</v>
      </c>
    </row>
    <row r="2" spans="1:22" x14ac:dyDescent="0.3">
      <c r="A2" s="10" t="s">
        <v>5</v>
      </c>
      <c r="B2" s="10" t="s">
        <v>291</v>
      </c>
      <c r="C2" s="10" t="s">
        <v>291</v>
      </c>
      <c r="D2" s="10" t="s">
        <v>291</v>
      </c>
      <c r="E2" s="10" t="s">
        <v>291</v>
      </c>
      <c r="F2" s="10" t="s">
        <v>292</v>
      </c>
      <c r="G2" s="10" t="s">
        <v>293</v>
      </c>
      <c r="H2" s="11" t="s">
        <v>294</v>
      </c>
      <c r="I2" s="10" t="s">
        <v>295</v>
      </c>
      <c r="J2" s="10" t="s">
        <v>201</v>
      </c>
      <c r="K2" t="str">
        <f>VLOOKUP(A2,[1]Sheet4!A:B,2,FALSE)</f>
        <v>insurance_endorsement</v>
      </c>
      <c r="L2" t="str">
        <f>VLOOKUP(K2,[3]Combined_Columns!$A:$B,2,FALSE)</f>
        <v>employee_insurance</v>
      </c>
      <c r="M2" t="str">
        <f>VLOOKUP(K2,[3]Combined_Columns!$A:$E,5,FALSE)</f>
        <v>varchar</v>
      </c>
      <c r="N2" t="b">
        <f>ISERROR(SEARCH(M2, H2))</f>
        <v>1</v>
      </c>
      <c r="O2" t="s">
        <v>278</v>
      </c>
      <c r="P2" s="10" t="s">
        <v>5</v>
      </c>
      <c r="Q2" s="10" t="s">
        <v>6</v>
      </c>
      <c r="R2" s="10" t="s">
        <v>296</v>
      </c>
      <c r="S2" t="str">
        <f>VLOOKUP(Q2,[2]Sheet2!$D:$E,2,FALSE)</f>
        <v>Confidential</v>
      </c>
      <c r="T2" t="str">
        <f>VLOOKUP(Q2,[2]Sheet2!$D:$F,3,FALSE)</f>
        <v>Confidential</v>
      </c>
      <c r="U2" t="str">
        <f>VLOOKUP(Q2,[2]Sheet2!$D:$G,4,FALSE)</f>
        <v>Confidential</v>
      </c>
    </row>
    <row r="3" spans="1:22" x14ac:dyDescent="0.3">
      <c r="A3" s="10" t="s">
        <v>7</v>
      </c>
      <c r="B3" s="10" t="s">
        <v>291</v>
      </c>
      <c r="C3" s="10" t="s">
        <v>291</v>
      </c>
      <c r="D3" s="10" t="s">
        <v>291</v>
      </c>
      <c r="E3" s="10" t="s">
        <v>291</v>
      </c>
      <c r="F3" s="10" t="s">
        <v>292</v>
      </c>
      <c r="G3" s="10" t="s">
        <v>293</v>
      </c>
      <c r="H3" s="11" t="s">
        <v>294</v>
      </c>
      <c r="I3" s="10" t="s">
        <v>297</v>
      </c>
      <c r="J3" s="10" t="s">
        <v>201</v>
      </c>
      <c r="K3" t="str">
        <f>VLOOKUP(A3,[1]Sheet4!A:B,2,FALSE)</f>
        <v>insurance_owlexa</v>
      </c>
      <c r="L3" t="str">
        <f>VLOOKUP(K3,[3]Combined_Columns!$A:$B,2,FALSE)</f>
        <v>employee_insurance</v>
      </c>
      <c r="M3" t="str">
        <f>VLOOKUP(K3,[3]Combined_Columns!$A:$E,5,FALSE)</f>
        <v>varchar</v>
      </c>
      <c r="N3" t="b">
        <f t="shared" ref="N3:N66" si="0">ISERROR(SEARCH(M3, H3))</f>
        <v>1</v>
      </c>
      <c r="O3" t="s">
        <v>278</v>
      </c>
      <c r="P3" s="10" t="s">
        <v>7</v>
      </c>
      <c r="Q3" s="10" t="s">
        <v>8</v>
      </c>
      <c r="R3" s="10" t="s">
        <v>296</v>
      </c>
      <c r="S3" t="str">
        <f>VLOOKUP(Q3,[2]Sheet2!$D:$E,2,FALSE)</f>
        <v>Confidential</v>
      </c>
      <c r="T3" t="str">
        <f>VLOOKUP(Q3,[2]Sheet2!$D:$F,3,FALSE)</f>
        <v>Confidential</v>
      </c>
      <c r="U3" t="str">
        <f>VLOOKUP(Q3,[2]Sheet2!$D:$G,4,FALSE)</f>
        <v>Confidential</v>
      </c>
    </row>
    <row r="4" spans="1:22" x14ac:dyDescent="0.3">
      <c r="A4" s="10" t="s">
        <v>9</v>
      </c>
      <c r="B4" s="10" t="s">
        <v>291</v>
      </c>
      <c r="C4" s="10" t="s">
        <v>291</v>
      </c>
      <c r="D4" s="10" t="s">
        <v>291</v>
      </c>
      <c r="E4" s="10" t="s">
        <v>291</v>
      </c>
      <c r="F4" s="10" t="s">
        <v>292</v>
      </c>
      <c r="G4" s="10" t="s">
        <v>293</v>
      </c>
      <c r="H4" s="11" t="s">
        <v>294</v>
      </c>
      <c r="I4" s="10" t="s">
        <v>297</v>
      </c>
      <c r="J4" s="10" t="s">
        <v>201</v>
      </c>
      <c r="K4" t="str">
        <f>VLOOKUP(A4,[1]Sheet4!A:B,2,FALSE)</f>
        <v>insurance_fpg</v>
      </c>
      <c r="L4" t="str">
        <f>VLOOKUP(K4,[3]Combined_Columns!$A:$B,2,FALSE)</f>
        <v>employee_insurance</v>
      </c>
      <c r="M4" t="str">
        <f>VLOOKUP(K4,[3]Combined_Columns!$A:$E,5,FALSE)</f>
        <v>varchar</v>
      </c>
      <c r="N4" t="b">
        <f t="shared" si="0"/>
        <v>1</v>
      </c>
      <c r="O4" t="s">
        <v>278</v>
      </c>
      <c r="P4" s="10" t="s">
        <v>9</v>
      </c>
      <c r="Q4" s="10" t="s">
        <v>10</v>
      </c>
      <c r="R4" s="10" t="s">
        <v>296</v>
      </c>
      <c r="S4" t="str">
        <f>VLOOKUP(Q4,[2]Sheet2!$D:$E,2,FALSE)</f>
        <v>Confidential</v>
      </c>
      <c r="T4" t="str">
        <f>VLOOKUP(Q4,[2]Sheet2!$D:$F,3,FALSE)</f>
        <v>Confidential</v>
      </c>
      <c r="U4" t="str">
        <f>VLOOKUP(Q4,[2]Sheet2!$D:$G,4,FALSE)</f>
        <v>Confidential</v>
      </c>
    </row>
    <row r="5" spans="1:22" x14ac:dyDescent="0.3">
      <c r="A5" s="10" t="s">
        <v>11</v>
      </c>
      <c r="B5" s="10" t="s">
        <v>291</v>
      </c>
      <c r="C5" s="10" t="s">
        <v>291</v>
      </c>
      <c r="D5" s="10" t="s">
        <v>291</v>
      </c>
      <c r="E5" s="10" t="s">
        <v>291</v>
      </c>
      <c r="F5" s="10" t="s">
        <v>292</v>
      </c>
      <c r="G5" s="10" t="s">
        <v>293</v>
      </c>
      <c r="H5" s="11" t="s">
        <v>298</v>
      </c>
      <c r="I5" s="10" t="s">
        <v>299</v>
      </c>
      <c r="J5" s="10" t="s">
        <v>201</v>
      </c>
      <c r="K5" t="str">
        <f>VLOOKUP(A5,[1]Sheet4!A:B,2,FALSE)</f>
        <v>employee_id</v>
      </c>
      <c r="L5" t="str">
        <f>VLOOKUP(K5,[3]Combined_Columns!$A:$B,2,FALSE)</f>
        <v>employee_bank, employee_contact, employee_core, employee_employment, employee_insurance, employee_onboard, employee_travel</v>
      </c>
      <c r="M5" t="str">
        <f>VLOOKUP(K5,[3]Combined_Columns!$A:$E,5,FALSE)</f>
        <v>varchar</v>
      </c>
      <c r="N5" t="b">
        <f t="shared" si="0"/>
        <v>0</v>
      </c>
      <c r="O5" t="s">
        <v>278</v>
      </c>
      <c r="P5" s="10" t="s">
        <v>11</v>
      </c>
      <c r="Q5" s="10" t="s">
        <v>12</v>
      </c>
      <c r="R5" s="10" t="s">
        <v>300</v>
      </c>
      <c r="S5" t="str">
        <f>VLOOKUP(Q5,[2]Sheet2!$D:$E,2,FALSE)</f>
        <v>Public</v>
      </c>
      <c r="T5" t="str">
        <f>VLOOKUP(Q5,[2]Sheet2!$D:$F,3,FALSE)</f>
        <v>Public</v>
      </c>
      <c r="U5" t="str">
        <f>VLOOKUP(Q5,[2]Sheet2!$D:$G,4,FALSE)</f>
        <v>Public</v>
      </c>
    </row>
    <row r="6" spans="1:22" x14ac:dyDescent="0.3">
      <c r="A6" s="10" t="s">
        <v>13</v>
      </c>
      <c r="B6" s="10" t="s">
        <v>291</v>
      </c>
      <c r="C6" s="10" t="s">
        <v>291</v>
      </c>
      <c r="D6" s="10" t="s">
        <v>301</v>
      </c>
      <c r="E6" s="10" t="s">
        <v>301</v>
      </c>
      <c r="F6" s="10" t="s">
        <v>302</v>
      </c>
      <c r="G6" s="10" t="s">
        <v>293</v>
      </c>
      <c r="H6" s="11" t="s">
        <v>298</v>
      </c>
      <c r="I6" s="10" t="s">
        <v>303</v>
      </c>
      <c r="J6" s="10" t="s">
        <v>201</v>
      </c>
      <c r="K6" t="str">
        <f>VLOOKUP(A6,[1]Sheet4!A:B,2,FALSE)</f>
        <v>imip_id</v>
      </c>
      <c r="L6" t="str">
        <f>VLOOKUP(K6,[3]Combined_Columns!$A:$B,2,FALSE)</f>
        <v>employee_core</v>
      </c>
      <c r="M6" t="str">
        <f>VLOOKUP(K6,[3]Combined_Columns!$A:$E,5,FALSE)</f>
        <v>varchar</v>
      </c>
      <c r="N6" t="b">
        <f t="shared" si="0"/>
        <v>0</v>
      </c>
      <c r="O6" t="s">
        <v>278</v>
      </c>
      <c r="P6" s="10" t="s">
        <v>13</v>
      </c>
      <c r="Q6" s="10" t="s">
        <v>14</v>
      </c>
      <c r="R6" s="10" t="s">
        <v>304</v>
      </c>
      <c r="S6" t="str">
        <f>VLOOKUP(Q6,[2]Sheet2!$D:$E,2,FALSE)</f>
        <v>Y</v>
      </c>
      <c r="T6" t="str">
        <f>VLOOKUP(Q6,[2]Sheet2!$D:$F,3,FALSE)</f>
        <v>Y</v>
      </c>
      <c r="U6">
        <f>VLOOKUP(Q6,[2]Sheet2!$D:$G,4,FALSE)</f>
        <v>0</v>
      </c>
    </row>
    <row r="7" spans="1:22" x14ac:dyDescent="0.3">
      <c r="A7" s="10" t="s">
        <v>15</v>
      </c>
      <c r="B7" s="10" t="s">
        <v>291</v>
      </c>
      <c r="C7" s="10" t="s">
        <v>291</v>
      </c>
      <c r="D7" s="10" t="s">
        <v>291</v>
      </c>
      <c r="E7" s="10" t="s">
        <v>291</v>
      </c>
      <c r="F7" s="10" t="s">
        <v>292</v>
      </c>
      <c r="G7" s="10" t="s">
        <v>293</v>
      </c>
      <c r="H7" s="11" t="s">
        <v>305</v>
      </c>
      <c r="I7" s="10" t="s">
        <v>301</v>
      </c>
      <c r="J7" s="10" t="s">
        <v>201</v>
      </c>
      <c r="K7" t="str">
        <f>VLOOKUP(A7,[1]Sheet4!A:B,2,FALSE)</f>
        <v>name</v>
      </c>
      <c r="L7" t="str">
        <f>VLOOKUP(K7,[3]Combined_Columns!$A:$B,2,FALSE)</f>
        <v>employee_core</v>
      </c>
      <c r="M7" t="str">
        <f>VLOOKUP(K7,[3]Combined_Columns!$A:$E,5,FALSE)</f>
        <v>varchar</v>
      </c>
      <c r="N7" t="b">
        <f t="shared" si="0"/>
        <v>0</v>
      </c>
      <c r="O7" t="s">
        <v>278</v>
      </c>
      <c r="P7" s="10" t="s">
        <v>15</v>
      </c>
      <c r="Q7" s="10" t="s">
        <v>16</v>
      </c>
      <c r="R7" s="10" t="s">
        <v>304</v>
      </c>
      <c r="S7" t="str">
        <f>VLOOKUP(Q7,[2]Sheet2!$D:$E,2,FALSE)</f>
        <v>Public</v>
      </c>
      <c r="T7" t="str">
        <f>VLOOKUP(Q7,[2]Sheet2!$D:$F,3,FALSE)</f>
        <v>Public</v>
      </c>
      <c r="U7" t="str">
        <f>VLOOKUP(Q7,[2]Sheet2!$D:$G,4,FALSE)</f>
        <v>Public</v>
      </c>
    </row>
    <row r="8" spans="1:22" x14ac:dyDescent="0.3">
      <c r="A8" s="10" t="s">
        <v>17</v>
      </c>
      <c r="B8" s="10" t="s">
        <v>291</v>
      </c>
      <c r="C8" s="10" t="s">
        <v>291</v>
      </c>
      <c r="D8" s="10" t="s">
        <v>291</v>
      </c>
      <c r="E8" s="10" t="s">
        <v>291</v>
      </c>
      <c r="F8" s="10" t="s">
        <v>292</v>
      </c>
      <c r="G8" s="10" t="s">
        <v>293</v>
      </c>
      <c r="H8" s="11" t="s">
        <v>306</v>
      </c>
      <c r="I8" s="10" t="s">
        <v>307</v>
      </c>
      <c r="J8" s="10" t="s">
        <v>201</v>
      </c>
      <c r="K8" t="str">
        <f>VLOOKUP(A8,[1]Sheet4!A:B,2,FALSE)</f>
        <v>gender</v>
      </c>
      <c r="L8" t="str">
        <f>VLOOKUP(K8,[3]Combined_Columns!$A:$B,2,FALSE)</f>
        <v>employee_core</v>
      </c>
      <c r="M8" t="str">
        <f>VLOOKUP(K8,[3]Combined_Columns!$A:$E,5,FALSE)</f>
        <v>char</v>
      </c>
      <c r="N8" t="b">
        <f t="shared" si="0"/>
        <v>0</v>
      </c>
      <c r="O8" t="s">
        <v>278</v>
      </c>
      <c r="P8" s="10" t="s">
        <v>17</v>
      </c>
      <c r="Q8" s="10" t="s">
        <v>18</v>
      </c>
      <c r="R8" s="10" t="s">
        <v>304</v>
      </c>
      <c r="S8" t="str">
        <f>VLOOKUP(Q8,[2]Sheet2!$D:$E,2,FALSE)</f>
        <v>Public</v>
      </c>
      <c r="T8" t="str">
        <f>VLOOKUP(Q8,[2]Sheet2!$D:$F,3,FALSE)</f>
        <v>Public</v>
      </c>
      <c r="U8" t="str">
        <f>VLOOKUP(Q8,[2]Sheet2!$D:$G,4,FALSE)</f>
        <v>Public</v>
      </c>
    </row>
    <row r="9" spans="1:22" x14ac:dyDescent="0.3">
      <c r="A9" s="10" t="s">
        <v>19</v>
      </c>
      <c r="B9" s="10" t="s">
        <v>291</v>
      </c>
      <c r="C9" s="10" t="s">
        <v>291</v>
      </c>
      <c r="D9" s="10" t="s">
        <v>291</v>
      </c>
      <c r="E9" s="10" t="s">
        <v>291</v>
      </c>
      <c r="F9" s="10" t="s">
        <v>292</v>
      </c>
      <c r="G9" s="10" t="s">
        <v>293</v>
      </c>
      <c r="H9" s="11" t="s">
        <v>308</v>
      </c>
      <c r="I9" s="10" t="s">
        <v>301</v>
      </c>
      <c r="J9" s="10" t="s">
        <v>201</v>
      </c>
      <c r="K9" t="str">
        <f>VLOOKUP(A9,[1]Sheet4!A:B,2,FALSE)</f>
        <v>place_of_birth</v>
      </c>
      <c r="L9" t="str">
        <f>VLOOKUP(K9,[3]Combined_Columns!$A:$B,2,FALSE)</f>
        <v>employee_core</v>
      </c>
      <c r="M9" t="str">
        <f>VLOOKUP(K9,[3]Combined_Columns!$A:$E,5,FALSE)</f>
        <v>varchar</v>
      </c>
      <c r="N9" t="b">
        <f t="shared" si="0"/>
        <v>0</v>
      </c>
      <c r="O9" t="s">
        <v>278</v>
      </c>
      <c r="P9" s="10" t="s">
        <v>19</v>
      </c>
      <c r="Q9" s="10" t="s">
        <v>20</v>
      </c>
      <c r="R9" s="10" t="s">
        <v>304</v>
      </c>
      <c r="S9" t="str">
        <f>VLOOKUP(Q9,[2]Sheet2!$D:$E,2,FALSE)</f>
        <v>Y</v>
      </c>
      <c r="T9">
        <f>VLOOKUP(Q9,[2]Sheet2!$D:$F,3,FALSE)</f>
        <v>0</v>
      </c>
      <c r="U9">
        <f>VLOOKUP(Q9,[2]Sheet2!$D:$G,4,FALSE)</f>
        <v>0</v>
      </c>
    </row>
    <row r="10" spans="1:22" x14ac:dyDescent="0.3">
      <c r="A10" s="10" t="s">
        <v>21</v>
      </c>
      <c r="B10" s="10" t="s">
        <v>291</v>
      </c>
      <c r="C10" s="10" t="s">
        <v>291</v>
      </c>
      <c r="D10" s="10" t="s">
        <v>291</v>
      </c>
      <c r="E10" s="10" t="s">
        <v>291</v>
      </c>
      <c r="F10" s="10" t="s">
        <v>292</v>
      </c>
      <c r="G10" s="10" t="s">
        <v>293</v>
      </c>
      <c r="H10" s="11" t="s">
        <v>309</v>
      </c>
      <c r="I10" s="10" t="s">
        <v>301</v>
      </c>
      <c r="J10" s="10" t="s">
        <v>201</v>
      </c>
      <c r="K10" t="str">
        <f>VLOOKUP(A10,[1]Sheet4!A:B,2,FALSE)</f>
        <v>date_of_birth</v>
      </c>
      <c r="L10" t="str">
        <f>VLOOKUP(K10,[3]Combined_Columns!$A:$B,2,FALSE)</f>
        <v>employee_core</v>
      </c>
      <c r="M10" t="str">
        <f>VLOOKUP(K10,[3]Combined_Columns!$A:$E,5,FALSE)</f>
        <v>date</v>
      </c>
      <c r="N10" t="b">
        <f t="shared" si="0"/>
        <v>0</v>
      </c>
      <c r="O10" t="s">
        <v>278</v>
      </c>
      <c r="P10" s="10" t="s">
        <v>21</v>
      </c>
      <c r="Q10" s="10" t="s">
        <v>22</v>
      </c>
      <c r="R10" s="10" t="s">
        <v>304</v>
      </c>
      <c r="S10" t="str">
        <f>VLOOKUP(Q10,[2]Sheet2!$D:$E,2,FALSE)</f>
        <v>Y</v>
      </c>
      <c r="T10">
        <f>VLOOKUP(Q10,[2]Sheet2!$D:$F,3,FALSE)</f>
        <v>0</v>
      </c>
      <c r="U10">
        <f>VLOOKUP(Q10,[2]Sheet2!$D:$G,4,FALSE)</f>
        <v>0</v>
      </c>
    </row>
    <row r="11" spans="1:22" x14ac:dyDescent="0.3">
      <c r="A11" s="10" t="s">
        <v>23</v>
      </c>
      <c r="B11" s="10" t="s">
        <v>291</v>
      </c>
      <c r="C11" s="10" t="s">
        <v>291</v>
      </c>
      <c r="D11" s="10" t="s">
        <v>291</v>
      </c>
      <c r="E11" s="10" t="s">
        <v>291</v>
      </c>
      <c r="F11" s="10" t="s">
        <v>292</v>
      </c>
      <c r="G11" s="10" t="s">
        <v>293</v>
      </c>
      <c r="H11" s="11" t="s">
        <v>310</v>
      </c>
      <c r="I11" s="10" t="s">
        <v>311</v>
      </c>
      <c r="J11" s="10" t="s">
        <v>278</v>
      </c>
      <c r="K11" s="10" t="s">
        <v>24</v>
      </c>
      <c r="L11" t="str">
        <f>VLOOKUP(K11,[3]Combined_Columns!$A:$B,2,FALSE)</f>
        <v>employee_core</v>
      </c>
      <c r="M11" t="str">
        <f>VLOOKUP(K11,[3]Combined_Columns!$A:$E,5,FALSE)</f>
        <v>int</v>
      </c>
      <c r="N11" t="b">
        <f t="shared" si="0"/>
        <v>0</v>
      </c>
      <c r="O11" t="s">
        <v>278</v>
      </c>
      <c r="P11" s="10" t="s">
        <v>23</v>
      </c>
      <c r="Q11" s="10" t="s">
        <v>24</v>
      </c>
      <c r="R11" s="10" t="s">
        <v>304</v>
      </c>
      <c r="S11" t="str">
        <f>VLOOKUP(Q11,[2]Sheet2!$D:$E,2,FALSE)</f>
        <v>Y</v>
      </c>
      <c r="T11">
        <f>VLOOKUP(Q11,[2]Sheet2!$D:$F,3,FALSE)</f>
        <v>0</v>
      </c>
      <c r="U11">
        <f>VLOOKUP(Q11,[2]Sheet2!$D:$G,4,FALSE)</f>
        <v>0</v>
      </c>
    </row>
    <row r="12" spans="1:22" x14ac:dyDescent="0.3">
      <c r="A12" s="10" t="s">
        <v>25</v>
      </c>
      <c r="B12" s="10" t="s">
        <v>291</v>
      </c>
      <c r="C12" s="10" t="s">
        <v>291</v>
      </c>
      <c r="D12" s="10" t="s">
        <v>291</v>
      </c>
      <c r="E12" s="10" t="s">
        <v>291</v>
      </c>
      <c r="F12" s="10" t="s">
        <v>292</v>
      </c>
      <c r="G12" s="10" t="s">
        <v>293</v>
      </c>
      <c r="H12" s="11" t="s">
        <v>298</v>
      </c>
      <c r="I12" s="10" t="s">
        <v>312</v>
      </c>
      <c r="J12" s="10" t="s">
        <v>201</v>
      </c>
      <c r="K12" t="str">
        <f>VLOOKUP(A12,[1]Sheet4!A:B,2,FALSE)</f>
        <v>marital_status</v>
      </c>
      <c r="L12" t="str">
        <f>VLOOKUP(K12,[3]Combined_Columns!$A:$B,2,FALSE)</f>
        <v>employee_core</v>
      </c>
      <c r="M12" t="str">
        <f>VLOOKUP(K12,[3]Combined_Columns!$A:$E,5,FALSE)</f>
        <v>varchar</v>
      </c>
      <c r="N12" t="b">
        <f t="shared" si="0"/>
        <v>0</v>
      </c>
      <c r="O12" t="s">
        <v>278</v>
      </c>
      <c r="P12" s="10" t="s">
        <v>25</v>
      </c>
      <c r="Q12" s="10" t="s">
        <v>26</v>
      </c>
      <c r="R12" s="10" t="s">
        <v>304</v>
      </c>
      <c r="S12" t="str">
        <f>VLOOKUP(Q12,[2]Sheet2!$D:$E,2,FALSE)</f>
        <v>Confidential</v>
      </c>
      <c r="T12" t="str">
        <f>VLOOKUP(Q12,[2]Sheet2!$D:$F,3,FALSE)</f>
        <v>Confidential</v>
      </c>
      <c r="U12" t="str">
        <f>VLOOKUP(Q12,[2]Sheet2!$D:$G,4,FALSE)</f>
        <v>Confidential</v>
      </c>
    </row>
    <row r="13" spans="1:22" x14ac:dyDescent="0.3">
      <c r="A13" s="10" t="s">
        <v>27</v>
      </c>
      <c r="B13" s="10" t="s">
        <v>291</v>
      </c>
      <c r="C13" s="10" t="s">
        <v>291</v>
      </c>
      <c r="D13" s="10" t="s">
        <v>291</v>
      </c>
      <c r="E13" s="10" t="s">
        <v>291</v>
      </c>
      <c r="F13" s="10" t="s">
        <v>292</v>
      </c>
      <c r="G13" s="10" t="s">
        <v>293</v>
      </c>
      <c r="H13" s="11" t="s">
        <v>306</v>
      </c>
      <c r="I13" s="10" t="s">
        <v>313</v>
      </c>
      <c r="J13" s="10" t="s">
        <v>201</v>
      </c>
      <c r="K13" t="str">
        <f>VLOOKUP(A13,[1]Sheet4!A:B,2,FALSE)</f>
        <v>tax_status</v>
      </c>
      <c r="L13" t="str">
        <f>VLOOKUP(K13,[3]Combined_Columns!$A:$B,2,FALSE)</f>
        <v>employee_core</v>
      </c>
      <c r="M13" t="str">
        <f>VLOOKUP(K13,[3]Combined_Columns!$A:$E,5,FALSE)</f>
        <v>varchar</v>
      </c>
      <c r="N13" t="b">
        <f t="shared" si="0"/>
        <v>0</v>
      </c>
      <c r="O13" t="s">
        <v>278</v>
      </c>
      <c r="P13" s="10" t="s">
        <v>27</v>
      </c>
      <c r="Q13" s="10" t="s">
        <v>28</v>
      </c>
      <c r="R13" s="10" t="s">
        <v>304</v>
      </c>
      <c r="S13">
        <f>VLOOKUP(Q13,[2]Sheet2!$D:$E,2,FALSE)</f>
        <v>0</v>
      </c>
      <c r="T13">
        <f>VLOOKUP(Q13,[2]Sheet2!$D:$F,3,FALSE)</f>
        <v>0</v>
      </c>
      <c r="U13" t="str">
        <f>VLOOKUP(Q13,[2]Sheet2!$D:$G,4,FALSE)</f>
        <v>Y</v>
      </c>
    </row>
    <row r="14" spans="1:22" x14ac:dyDescent="0.3">
      <c r="A14" s="10" t="s">
        <v>29</v>
      </c>
      <c r="B14" s="10" t="s">
        <v>291</v>
      </c>
      <c r="C14" s="10" t="s">
        <v>291</v>
      </c>
      <c r="D14" s="10" t="s">
        <v>301</v>
      </c>
      <c r="E14" s="10" t="s">
        <v>301</v>
      </c>
      <c r="F14" s="10" t="s">
        <v>302</v>
      </c>
      <c r="G14" s="10" t="s">
        <v>293</v>
      </c>
      <c r="H14" s="11" t="s">
        <v>305</v>
      </c>
      <c r="I14" s="10" t="s">
        <v>303</v>
      </c>
      <c r="J14" s="10" t="s">
        <v>201</v>
      </c>
      <c r="K14" t="str">
        <f>VLOOKUP(A14,[1]Sheet4!A:B,2,FALSE)</f>
        <v>spouse_name</v>
      </c>
      <c r="L14" t="str">
        <f>VLOOKUP(K14,[3]Combined_Columns!$A:$B,2,FALSE)</f>
        <v>employee_contact</v>
      </c>
      <c r="M14" t="str">
        <f>VLOOKUP(K14,[3]Combined_Columns!$A:$E,5,FALSE)</f>
        <v>varchar</v>
      </c>
      <c r="N14" t="b">
        <f t="shared" si="0"/>
        <v>0</v>
      </c>
      <c r="O14" t="s">
        <v>278</v>
      </c>
      <c r="P14" s="10" t="s">
        <v>29</v>
      </c>
      <c r="Q14" s="10" t="s">
        <v>30</v>
      </c>
      <c r="R14" s="10" t="s">
        <v>314</v>
      </c>
      <c r="S14" t="str">
        <f>VLOOKUP(Q14,[2]Sheet2!$D:$E,2,FALSE)</f>
        <v>Confidential</v>
      </c>
      <c r="T14" t="str">
        <f>VLOOKUP(Q14,[2]Sheet2!$D:$F,3,FALSE)</f>
        <v>Confidential</v>
      </c>
      <c r="U14" t="str">
        <f>VLOOKUP(Q14,[2]Sheet2!$D:$G,4,FALSE)</f>
        <v>Confidential</v>
      </c>
    </row>
    <row r="15" spans="1:22" x14ac:dyDescent="0.3">
      <c r="A15" s="10" t="s">
        <v>31</v>
      </c>
      <c r="B15" s="10" t="s">
        <v>291</v>
      </c>
      <c r="C15" s="10" t="s">
        <v>291</v>
      </c>
      <c r="D15" s="10" t="s">
        <v>301</v>
      </c>
      <c r="E15" s="10" t="s">
        <v>301</v>
      </c>
      <c r="F15" s="10" t="s">
        <v>302</v>
      </c>
      <c r="G15" s="10" t="s">
        <v>293</v>
      </c>
      <c r="H15" s="11" t="s">
        <v>305</v>
      </c>
      <c r="I15" s="10" t="s">
        <v>303</v>
      </c>
      <c r="J15" s="10" t="s">
        <v>201</v>
      </c>
      <c r="K15" t="str">
        <f>VLOOKUP(A15,[1]Sheet4!A:B,2,FALSE)</f>
        <v>child_name_1</v>
      </c>
      <c r="L15" t="str">
        <f>VLOOKUP(K15,[3]Combined_Columns!$A:$B,2,FALSE)</f>
        <v>employee_contact</v>
      </c>
      <c r="M15" t="str">
        <f>VLOOKUP(K15,[3]Combined_Columns!$A:$E,5,FALSE)</f>
        <v>varchar</v>
      </c>
      <c r="N15" t="b">
        <f t="shared" si="0"/>
        <v>0</v>
      </c>
      <c r="O15" t="s">
        <v>278</v>
      </c>
      <c r="P15" s="10" t="s">
        <v>31</v>
      </c>
      <c r="Q15" s="10" t="s">
        <v>32</v>
      </c>
      <c r="R15" s="10" t="s">
        <v>314</v>
      </c>
      <c r="S15" t="str">
        <f>VLOOKUP(Q15,[2]Sheet2!$D:$E,2,FALSE)</f>
        <v>Confidential</v>
      </c>
      <c r="T15" t="str">
        <f>VLOOKUP(Q15,[2]Sheet2!$D:$F,3,FALSE)</f>
        <v>Confidential</v>
      </c>
      <c r="U15" t="str">
        <f>VLOOKUP(Q15,[2]Sheet2!$D:$G,4,FALSE)</f>
        <v>Confidential</v>
      </c>
    </row>
    <row r="16" spans="1:22" x14ac:dyDescent="0.3">
      <c r="A16" s="10" t="s">
        <v>33</v>
      </c>
      <c r="B16" s="10" t="s">
        <v>291</v>
      </c>
      <c r="C16" s="10" t="s">
        <v>291</v>
      </c>
      <c r="D16" s="10" t="s">
        <v>301</v>
      </c>
      <c r="E16" s="10" t="s">
        <v>301</v>
      </c>
      <c r="F16" s="10" t="s">
        <v>302</v>
      </c>
      <c r="G16" s="10" t="s">
        <v>293</v>
      </c>
      <c r="H16" s="11" t="s">
        <v>305</v>
      </c>
      <c r="I16" s="10" t="s">
        <v>303</v>
      </c>
      <c r="J16" s="10" t="s">
        <v>201</v>
      </c>
      <c r="K16" t="str">
        <f>VLOOKUP(A16,[1]Sheet4!A:B,2,FALSE)</f>
        <v>child_name_2</v>
      </c>
      <c r="L16" t="str">
        <f>VLOOKUP(K16,[3]Combined_Columns!$A:$B,2,FALSE)</f>
        <v>employee_contact</v>
      </c>
      <c r="M16" t="str">
        <f>VLOOKUP(K16,[3]Combined_Columns!$A:$E,5,FALSE)</f>
        <v>varchar</v>
      </c>
      <c r="N16" t="b">
        <f t="shared" si="0"/>
        <v>0</v>
      </c>
      <c r="O16" t="s">
        <v>278</v>
      </c>
      <c r="P16" s="10" t="s">
        <v>33</v>
      </c>
      <c r="Q16" s="10" t="s">
        <v>34</v>
      </c>
      <c r="R16" s="10" t="s">
        <v>314</v>
      </c>
      <c r="S16" t="str">
        <f>VLOOKUP(Q16,[2]Sheet2!$D:$E,2,FALSE)</f>
        <v>Confidential</v>
      </c>
      <c r="T16" t="str">
        <f>VLOOKUP(Q16,[2]Sheet2!$D:$F,3,FALSE)</f>
        <v>Confidential</v>
      </c>
      <c r="U16" t="str">
        <f>VLOOKUP(Q16,[2]Sheet2!$D:$G,4,FALSE)</f>
        <v>Confidential</v>
      </c>
    </row>
    <row r="17" spans="1:21" x14ac:dyDescent="0.3">
      <c r="A17" s="10" t="s">
        <v>35</v>
      </c>
      <c r="B17" s="10" t="s">
        <v>291</v>
      </c>
      <c r="C17" s="10" t="s">
        <v>291</v>
      </c>
      <c r="D17" s="10" t="s">
        <v>301</v>
      </c>
      <c r="E17" s="10" t="s">
        <v>301</v>
      </c>
      <c r="F17" s="10" t="s">
        <v>302</v>
      </c>
      <c r="G17" s="10" t="s">
        <v>293</v>
      </c>
      <c r="H17" s="11" t="s">
        <v>305</v>
      </c>
      <c r="I17" s="10" t="s">
        <v>303</v>
      </c>
      <c r="J17" s="10" t="s">
        <v>201</v>
      </c>
      <c r="K17" t="str">
        <f>VLOOKUP(A17,[1]Sheet4!A:B,2,FALSE)</f>
        <v>child_name_3</v>
      </c>
      <c r="L17" t="str">
        <f>VLOOKUP(K17,[3]Combined_Columns!$A:$B,2,FALSE)</f>
        <v>employee_contact</v>
      </c>
      <c r="M17" t="str">
        <f>VLOOKUP(K17,[3]Combined_Columns!$A:$E,5,FALSE)</f>
        <v>varchar</v>
      </c>
      <c r="N17" t="b">
        <f t="shared" si="0"/>
        <v>0</v>
      </c>
      <c r="O17" t="s">
        <v>278</v>
      </c>
      <c r="P17" s="10" t="s">
        <v>35</v>
      </c>
      <c r="Q17" s="10" t="s">
        <v>36</v>
      </c>
      <c r="R17" s="10" t="s">
        <v>314</v>
      </c>
      <c r="S17" t="str">
        <f>VLOOKUP(Q17,[2]Sheet2!$D:$E,2,FALSE)</f>
        <v>Confidential</v>
      </c>
      <c r="T17" t="str">
        <f>VLOOKUP(Q17,[2]Sheet2!$D:$F,3,FALSE)</f>
        <v>Confidential</v>
      </c>
      <c r="U17" t="str">
        <f>VLOOKUP(Q17,[2]Sheet2!$D:$G,4,FALSE)</f>
        <v>Confidential</v>
      </c>
    </row>
    <row r="18" spans="1:21" x14ac:dyDescent="0.3">
      <c r="A18" s="10" t="s">
        <v>37</v>
      </c>
      <c r="B18" s="10" t="s">
        <v>291</v>
      </c>
      <c r="C18" s="10" t="s">
        <v>291</v>
      </c>
      <c r="D18" s="10" t="s">
        <v>291</v>
      </c>
      <c r="E18" s="10" t="s">
        <v>291</v>
      </c>
      <c r="F18" s="10" t="s">
        <v>292</v>
      </c>
      <c r="G18" s="10" t="s">
        <v>293</v>
      </c>
      <c r="H18" s="11" t="s">
        <v>315</v>
      </c>
      <c r="I18" s="10" t="s">
        <v>301</v>
      </c>
      <c r="J18" s="10" t="s">
        <v>201</v>
      </c>
      <c r="K18" t="str">
        <f>VLOOKUP(A18,[1]Sheet4!A:B,2,FALSE)</f>
        <v>religion</v>
      </c>
      <c r="L18" t="str">
        <f>VLOOKUP(K18,[3]Combined_Columns!$A:$B,2,FALSE)</f>
        <v>employee_core</v>
      </c>
      <c r="M18" t="str">
        <f>VLOOKUP(K18,[3]Combined_Columns!$A:$E,5,FALSE)</f>
        <v>varchar</v>
      </c>
      <c r="N18" t="b">
        <f t="shared" si="0"/>
        <v>0</v>
      </c>
      <c r="O18" t="s">
        <v>278</v>
      </c>
      <c r="P18" s="10" t="s">
        <v>37</v>
      </c>
      <c r="Q18" s="10" t="s">
        <v>38</v>
      </c>
      <c r="R18" s="10" t="s">
        <v>304</v>
      </c>
      <c r="S18" t="str">
        <f>VLOOKUP(Q18,[2]Sheet2!$D:$E,2,FALSE)</f>
        <v>Y</v>
      </c>
      <c r="T18">
        <f>VLOOKUP(Q18,[2]Sheet2!$D:$F,3,FALSE)</f>
        <v>0</v>
      </c>
      <c r="U18" t="str">
        <f>VLOOKUP(Q18,[2]Sheet2!$D:$G,4,FALSE)</f>
        <v>Y</v>
      </c>
    </row>
    <row r="19" spans="1:21" x14ac:dyDescent="0.3">
      <c r="A19" s="10" t="s">
        <v>39</v>
      </c>
      <c r="B19" s="10" t="s">
        <v>291</v>
      </c>
      <c r="C19" s="10" t="s">
        <v>291</v>
      </c>
      <c r="D19" s="10" t="s">
        <v>291</v>
      </c>
      <c r="E19" s="10" t="s">
        <v>291</v>
      </c>
      <c r="F19" s="10" t="s">
        <v>292</v>
      </c>
      <c r="G19" s="10" t="s">
        <v>293</v>
      </c>
      <c r="H19" s="11" t="s">
        <v>308</v>
      </c>
      <c r="I19" s="10" t="s">
        <v>316</v>
      </c>
      <c r="J19" s="10" t="s">
        <v>201</v>
      </c>
      <c r="K19" t="str">
        <f>VLOOKUP(A19,[1]Sheet4!A:B,2,FALSE)</f>
        <v>nationality</v>
      </c>
      <c r="L19" t="str">
        <f>VLOOKUP(K19,[3]Combined_Columns!$A:$B,2,FALSE)</f>
        <v>employee_core</v>
      </c>
      <c r="M19" t="str">
        <f>VLOOKUP(K19,[3]Combined_Columns!$A:$E,5,FALSE)</f>
        <v>varchar</v>
      </c>
      <c r="N19" t="b">
        <f t="shared" si="0"/>
        <v>0</v>
      </c>
      <c r="O19" t="s">
        <v>278</v>
      </c>
      <c r="P19" s="10" t="s">
        <v>39</v>
      </c>
      <c r="Q19" s="10" t="s">
        <v>40</v>
      </c>
      <c r="R19" s="10" t="s">
        <v>304</v>
      </c>
      <c r="S19" t="str">
        <f>VLOOKUP(Q19,[2]Sheet2!$D:$E,2,FALSE)</f>
        <v>Y</v>
      </c>
      <c r="T19">
        <f>VLOOKUP(Q19,[2]Sheet2!$D:$F,3,FALSE)</f>
        <v>0</v>
      </c>
      <c r="U19" t="str">
        <f>VLOOKUP(Q19,[2]Sheet2!$D:$G,4,FALSE)</f>
        <v>Y</v>
      </c>
    </row>
    <row r="20" spans="1:21" x14ac:dyDescent="0.3">
      <c r="A20" s="10" t="s">
        <v>41</v>
      </c>
      <c r="B20" s="10" t="s">
        <v>291</v>
      </c>
      <c r="C20" s="10" t="s">
        <v>291</v>
      </c>
      <c r="D20" s="10" t="s">
        <v>291</v>
      </c>
      <c r="E20" s="10" t="s">
        <v>291</v>
      </c>
      <c r="F20" s="10" t="s">
        <v>292</v>
      </c>
      <c r="G20" s="10" t="s">
        <v>293</v>
      </c>
      <c r="H20" s="11" t="s">
        <v>317</v>
      </c>
      <c r="I20" s="10" t="s">
        <v>318</v>
      </c>
      <c r="J20" s="10" t="s">
        <v>201</v>
      </c>
      <c r="K20" t="str">
        <f>VLOOKUP(A20,[1]Sheet4!A:B,2,FALSE)</f>
        <v>blood_type</v>
      </c>
      <c r="L20" t="str">
        <f>VLOOKUP(K20,[3]Combined_Columns!$A:$B,2,FALSE)</f>
        <v>employee_core</v>
      </c>
      <c r="M20" t="str">
        <f>VLOOKUP(K20,[3]Combined_Columns!$A:$E,5,FALSE)</f>
        <v>varchar</v>
      </c>
      <c r="N20" t="b">
        <f t="shared" si="0"/>
        <v>0</v>
      </c>
      <c r="O20" t="s">
        <v>278</v>
      </c>
      <c r="P20" s="10" t="s">
        <v>41</v>
      </c>
      <c r="Q20" s="10" t="s">
        <v>42</v>
      </c>
      <c r="R20" s="10" t="s">
        <v>304</v>
      </c>
      <c r="S20" t="str">
        <f>VLOOKUP(Q20,[2]Sheet2!$D:$E,2,FALSE)</f>
        <v>Y</v>
      </c>
      <c r="T20">
        <f>VLOOKUP(Q20,[2]Sheet2!$D:$F,3,FALSE)</f>
        <v>0</v>
      </c>
      <c r="U20" t="str">
        <f>VLOOKUP(Q20,[2]Sheet2!$D:$G,4,FALSE)</f>
        <v>Y</v>
      </c>
    </row>
    <row r="21" spans="1:21" x14ac:dyDescent="0.3">
      <c r="A21" s="10" t="s">
        <v>43</v>
      </c>
      <c r="B21" s="10" t="s">
        <v>291</v>
      </c>
      <c r="C21" s="10" t="s">
        <v>291</v>
      </c>
      <c r="D21" s="10" t="s">
        <v>291</v>
      </c>
      <c r="E21" s="10" t="s">
        <v>291</v>
      </c>
      <c r="F21" s="10" t="s">
        <v>292</v>
      </c>
      <c r="G21" s="10" t="s">
        <v>293</v>
      </c>
      <c r="H21" s="11" t="s">
        <v>298</v>
      </c>
      <c r="I21" s="10" t="s">
        <v>301</v>
      </c>
      <c r="J21" s="10" t="s">
        <v>201</v>
      </c>
      <c r="K21" t="str">
        <f>VLOOKUP(A21,[1]Sheet4!A:B,2,FALSE)</f>
        <v>phone_number</v>
      </c>
      <c r="L21" t="str">
        <f>VLOOKUP(K21,[3]Combined_Columns!$A:$B,2,FALSE)</f>
        <v>employee_contact</v>
      </c>
      <c r="M21" t="str">
        <f>VLOOKUP(K21,[3]Combined_Columns!$A:$E,5,FALSE)</f>
        <v>varchar</v>
      </c>
      <c r="N21" t="b">
        <f t="shared" si="0"/>
        <v>0</v>
      </c>
      <c r="O21" t="s">
        <v>278</v>
      </c>
      <c r="P21" s="10" t="s">
        <v>43</v>
      </c>
      <c r="Q21" s="10" t="s">
        <v>44</v>
      </c>
      <c r="R21" s="10" t="s">
        <v>314</v>
      </c>
      <c r="S21" t="str">
        <f>VLOOKUP(Q21,[2]Sheet2!$D:$E,2,FALSE)</f>
        <v>Public</v>
      </c>
      <c r="T21" t="str">
        <f>VLOOKUP(Q21,[2]Sheet2!$D:$F,3,FALSE)</f>
        <v>Public</v>
      </c>
      <c r="U21" t="str">
        <f>VLOOKUP(Q21,[2]Sheet2!$D:$G,4,FALSE)</f>
        <v>Public</v>
      </c>
    </row>
    <row r="22" spans="1:21" x14ac:dyDescent="0.3">
      <c r="A22" s="10" t="s">
        <v>45</v>
      </c>
      <c r="B22" s="10" t="s">
        <v>291</v>
      </c>
      <c r="C22" s="10" t="s">
        <v>291</v>
      </c>
      <c r="D22" s="10" t="s">
        <v>301</v>
      </c>
      <c r="E22" s="10" t="s">
        <v>301</v>
      </c>
      <c r="F22" s="10" t="s">
        <v>302</v>
      </c>
      <c r="G22" s="10" t="s">
        <v>293</v>
      </c>
      <c r="H22" s="11" t="s">
        <v>305</v>
      </c>
      <c r="I22" s="10" t="s">
        <v>303</v>
      </c>
      <c r="J22" s="10" t="s">
        <v>201</v>
      </c>
      <c r="K22" t="str">
        <f>VLOOKUP(A22,[1]Sheet4!A:B,2,FALSE)</f>
        <v>emergency_contact_name</v>
      </c>
      <c r="L22" t="str">
        <f>VLOOKUP(K22,[3]Combined_Columns!$A:$B,2,FALSE)</f>
        <v>employee_contact</v>
      </c>
      <c r="M22" t="str">
        <f>VLOOKUP(K22,[3]Combined_Columns!$A:$E,5,FALSE)</f>
        <v>varchar</v>
      </c>
      <c r="N22" t="b">
        <f t="shared" si="0"/>
        <v>0</v>
      </c>
      <c r="O22" t="s">
        <v>278</v>
      </c>
      <c r="P22" s="10" t="s">
        <v>45</v>
      </c>
      <c r="Q22" s="10" t="s">
        <v>46</v>
      </c>
      <c r="R22" s="10" t="s">
        <v>314</v>
      </c>
      <c r="S22" t="str">
        <f>VLOOKUP(Q22,[2]Sheet2!$D:$E,2,FALSE)</f>
        <v>Y</v>
      </c>
      <c r="T22">
        <f>VLOOKUP(Q22,[2]Sheet2!$D:$F,3,FALSE)</f>
        <v>0</v>
      </c>
      <c r="U22">
        <f>VLOOKUP(Q22,[2]Sheet2!$D:$G,4,FALSE)</f>
        <v>0</v>
      </c>
    </row>
    <row r="23" spans="1:21" x14ac:dyDescent="0.3">
      <c r="A23" s="10" t="s">
        <v>47</v>
      </c>
      <c r="B23" s="10" t="s">
        <v>291</v>
      </c>
      <c r="C23" s="10" t="s">
        <v>291</v>
      </c>
      <c r="D23" s="10" t="s">
        <v>301</v>
      </c>
      <c r="E23" s="10" t="s">
        <v>301</v>
      </c>
      <c r="F23" s="10" t="s">
        <v>302</v>
      </c>
      <c r="G23" s="10" t="s">
        <v>293</v>
      </c>
      <c r="H23" s="11" t="s">
        <v>298</v>
      </c>
      <c r="I23" s="10" t="s">
        <v>303</v>
      </c>
      <c r="J23" s="10" t="s">
        <v>201</v>
      </c>
      <c r="K23" t="str">
        <f>VLOOKUP(A23,[1]Sheet4!A:B,2,FALSE)</f>
        <v>emergency_contact_phone</v>
      </c>
      <c r="L23" t="str">
        <f>VLOOKUP(K23,[3]Combined_Columns!$A:$B,2,FALSE)</f>
        <v>employee_contact</v>
      </c>
      <c r="M23" t="str">
        <f>VLOOKUP(K23,[3]Combined_Columns!$A:$E,5,FALSE)</f>
        <v>varchar</v>
      </c>
      <c r="N23" t="b">
        <f t="shared" si="0"/>
        <v>0</v>
      </c>
      <c r="O23" t="s">
        <v>278</v>
      </c>
      <c r="P23" s="10" t="s">
        <v>47</v>
      </c>
      <c r="Q23" s="10" t="s">
        <v>48</v>
      </c>
      <c r="R23" s="10" t="s">
        <v>314</v>
      </c>
      <c r="S23" t="str">
        <f>VLOOKUP(Q23,[2]Sheet2!$D:$E,2,FALSE)</f>
        <v>Y</v>
      </c>
      <c r="T23">
        <f>VLOOKUP(Q23,[2]Sheet2!$D:$F,3,FALSE)</f>
        <v>0</v>
      </c>
      <c r="U23">
        <f>VLOOKUP(Q23,[2]Sheet2!$D:$G,4,FALSE)</f>
        <v>0</v>
      </c>
    </row>
    <row r="24" spans="1:21" x14ac:dyDescent="0.3">
      <c r="A24" s="10" t="s">
        <v>49</v>
      </c>
      <c r="B24" s="10" t="s">
        <v>291</v>
      </c>
      <c r="C24" s="10" t="s">
        <v>291</v>
      </c>
      <c r="D24" s="10" t="s">
        <v>301</v>
      </c>
      <c r="E24" s="10" t="s">
        <v>301</v>
      </c>
      <c r="F24" s="10" t="s">
        <v>302</v>
      </c>
      <c r="G24" s="10" t="s">
        <v>293</v>
      </c>
      <c r="H24" s="11" t="s">
        <v>319</v>
      </c>
      <c r="I24" s="10" t="s">
        <v>303</v>
      </c>
      <c r="J24" s="10" t="s">
        <v>201</v>
      </c>
      <c r="K24" t="str">
        <f>VLOOKUP(A24,[1]Sheet4!A:B,2,FALSE)</f>
        <v>kartu_keluarga_no</v>
      </c>
      <c r="L24" t="str">
        <f>VLOOKUP(K24,[3]Combined_Columns!$A:$B,2,FALSE)</f>
        <v>employee_core</v>
      </c>
      <c r="M24" t="str">
        <f>VLOOKUP(K24,[3]Combined_Columns!$A:$E,5,FALSE)</f>
        <v>varchar</v>
      </c>
      <c r="N24" t="b">
        <f t="shared" si="0"/>
        <v>0</v>
      </c>
      <c r="O24" t="s">
        <v>278</v>
      </c>
      <c r="P24" s="10" t="s">
        <v>49</v>
      </c>
      <c r="Q24" s="10" t="s">
        <v>50</v>
      </c>
      <c r="R24" s="10" t="s">
        <v>304</v>
      </c>
      <c r="S24" t="str">
        <f>VLOOKUP(Q24,[2]Sheet2!$D:$E,2,FALSE)</f>
        <v>Confidential</v>
      </c>
      <c r="T24" t="str">
        <f>VLOOKUP(Q24,[2]Sheet2!$D:$F,3,FALSE)</f>
        <v>Confidential</v>
      </c>
      <c r="U24" t="str">
        <f>VLOOKUP(Q24,[2]Sheet2!$D:$G,4,FALSE)</f>
        <v>Confidential</v>
      </c>
    </row>
    <row r="25" spans="1:21" x14ac:dyDescent="0.3">
      <c r="A25" s="10" t="s">
        <v>51</v>
      </c>
      <c r="B25" s="10" t="s">
        <v>291</v>
      </c>
      <c r="C25" s="10" t="s">
        <v>291</v>
      </c>
      <c r="D25" s="10" t="s">
        <v>291</v>
      </c>
      <c r="E25" s="10" t="s">
        <v>291</v>
      </c>
      <c r="F25" s="10" t="s">
        <v>292</v>
      </c>
      <c r="G25" s="10" t="s">
        <v>293</v>
      </c>
      <c r="H25" s="11" t="s">
        <v>298</v>
      </c>
      <c r="I25" s="10" t="s">
        <v>320</v>
      </c>
      <c r="J25" s="10" t="s">
        <v>201</v>
      </c>
      <c r="K25" t="str">
        <f>VLOOKUP(A25,[1]Sheet4!A:B,2,FALSE)</f>
        <v>ktp_no</v>
      </c>
      <c r="L25" t="str">
        <f>VLOOKUP(K25,[3]Combined_Columns!$A:$B,2,FALSE)</f>
        <v>employee_core</v>
      </c>
      <c r="M25" t="str">
        <f>VLOOKUP(K25,[3]Combined_Columns!$A:$E,5,FALSE)</f>
        <v>varchar</v>
      </c>
      <c r="N25" t="b">
        <f t="shared" si="0"/>
        <v>0</v>
      </c>
      <c r="O25" t="s">
        <v>278</v>
      </c>
      <c r="P25" s="10" t="s">
        <v>51</v>
      </c>
      <c r="Q25" s="10" t="s">
        <v>52</v>
      </c>
      <c r="R25" s="10" t="s">
        <v>304</v>
      </c>
      <c r="S25" t="str">
        <f>VLOOKUP(Q25,[2]Sheet2!$D:$E,2,FALSE)</f>
        <v>Y</v>
      </c>
      <c r="T25">
        <f>VLOOKUP(Q25,[2]Sheet2!$D:$F,3,FALSE)</f>
        <v>0</v>
      </c>
      <c r="U25">
        <f>VLOOKUP(Q25,[2]Sheet2!$D:$G,4,FALSE)</f>
        <v>0</v>
      </c>
    </row>
    <row r="26" spans="1:21" x14ac:dyDescent="0.3">
      <c r="A26" s="10" t="s">
        <v>53</v>
      </c>
      <c r="B26" s="10" t="s">
        <v>291</v>
      </c>
      <c r="C26" s="10" t="s">
        <v>291</v>
      </c>
      <c r="D26" s="10" t="s">
        <v>291</v>
      </c>
      <c r="E26" s="10" t="s">
        <v>291</v>
      </c>
      <c r="F26" s="10" t="s">
        <v>292</v>
      </c>
      <c r="G26" s="10" t="s">
        <v>293</v>
      </c>
      <c r="H26" s="11" t="s">
        <v>321</v>
      </c>
      <c r="I26" s="10" t="s">
        <v>301</v>
      </c>
      <c r="J26" s="10" t="s">
        <v>201</v>
      </c>
      <c r="K26" t="str">
        <f>VLOOKUP(A26,[1]Sheet4!A:B,2,FALSE)</f>
        <v>address</v>
      </c>
      <c r="L26" t="str">
        <f>VLOOKUP(K26,[3]Combined_Columns!$A:$B,2,FALSE)</f>
        <v>employee_contact</v>
      </c>
      <c r="M26" t="str">
        <f>VLOOKUP(K26,[3]Combined_Columns!$A:$E,5,FALSE)</f>
        <v>varchar</v>
      </c>
      <c r="N26" t="b">
        <f t="shared" si="0"/>
        <v>0</v>
      </c>
      <c r="O26" t="s">
        <v>278</v>
      </c>
      <c r="P26" s="10" t="s">
        <v>53</v>
      </c>
      <c r="Q26" s="10" t="s">
        <v>54</v>
      </c>
      <c r="R26" s="10" t="s">
        <v>314</v>
      </c>
      <c r="S26" t="str">
        <f>VLOOKUP(Q26,[2]Sheet2!$D:$E,2,FALSE)</f>
        <v>Y</v>
      </c>
      <c r="T26" t="str">
        <f>VLOOKUP(Q26,[2]Sheet2!$D:$F,3,FALSE)</f>
        <v>Y</v>
      </c>
      <c r="U26">
        <f>VLOOKUP(Q26,[2]Sheet2!$D:$G,4,FALSE)</f>
        <v>0</v>
      </c>
    </row>
    <row r="27" spans="1:21" x14ac:dyDescent="0.3">
      <c r="A27" s="10" t="s">
        <v>55</v>
      </c>
      <c r="B27" s="10" t="s">
        <v>291</v>
      </c>
      <c r="C27" s="10" t="s">
        <v>291</v>
      </c>
      <c r="D27" s="10" t="s">
        <v>291</v>
      </c>
      <c r="E27" s="10" t="s">
        <v>291</v>
      </c>
      <c r="F27" s="10" t="s">
        <v>292</v>
      </c>
      <c r="G27" s="10" t="s">
        <v>293</v>
      </c>
      <c r="H27" s="11" t="s">
        <v>305</v>
      </c>
      <c r="I27" s="10" t="s">
        <v>301</v>
      </c>
      <c r="J27" s="10" t="s">
        <v>201</v>
      </c>
      <c r="K27" t="str">
        <f>VLOOKUP(A27,[1]Sheet4!A:B,2,FALSE)</f>
        <v>city</v>
      </c>
      <c r="L27" t="str">
        <f>VLOOKUP(K27,[3]Combined_Columns!$A:$B,2,FALSE)</f>
        <v>employee_contact</v>
      </c>
      <c r="M27" t="str">
        <f>VLOOKUP(K27,[3]Combined_Columns!$A:$E,5,FALSE)</f>
        <v>varchar</v>
      </c>
      <c r="N27" t="b">
        <f t="shared" si="0"/>
        <v>0</v>
      </c>
      <c r="O27" t="s">
        <v>278</v>
      </c>
      <c r="P27" s="10" t="s">
        <v>55</v>
      </c>
      <c r="Q27" s="10" t="s">
        <v>56</v>
      </c>
      <c r="R27" s="10" t="s">
        <v>314</v>
      </c>
      <c r="S27" t="str">
        <f>VLOOKUP(Q27,[2]Sheet2!$D:$E,2,FALSE)</f>
        <v>Y</v>
      </c>
      <c r="T27">
        <f>VLOOKUP(Q27,[2]Sheet2!$D:$F,3,FALSE)</f>
        <v>0</v>
      </c>
      <c r="U27">
        <f>VLOOKUP(Q27,[2]Sheet2!$D:$G,4,FALSE)</f>
        <v>0</v>
      </c>
    </row>
    <row r="28" spans="1:21" x14ac:dyDescent="0.3">
      <c r="A28" s="10" t="s">
        <v>57</v>
      </c>
      <c r="B28" s="10" t="s">
        <v>291</v>
      </c>
      <c r="C28" s="10" t="s">
        <v>291</v>
      </c>
      <c r="D28" s="10" t="s">
        <v>291</v>
      </c>
      <c r="E28" s="10" t="s">
        <v>291</v>
      </c>
      <c r="F28" s="10" t="s">
        <v>292</v>
      </c>
      <c r="G28" s="10" t="s">
        <v>293</v>
      </c>
      <c r="H28" s="11" t="s">
        <v>305</v>
      </c>
      <c r="I28" s="10" t="s">
        <v>301</v>
      </c>
      <c r="J28" s="10" t="s">
        <v>201</v>
      </c>
      <c r="K28" t="str">
        <f>VLOOKUP(A28,[1]Sheet4!A:B,2,FALSE)</f>
        <v>point_of_hire</v>
      </c>
      <c r="L28" t="str">
        <f>VLOOKUP(K28,[3]Combined_Columns!$A:$B,2,FALSE)</f>
        <v>employee_onboard</v>
      </c>
      <c r="M28" t="str">
        <f>VLOOKUP(K28,[3]Combined_Columns!$A:$E,5,FALSE)</f>
        <v>varchar</v>
      </c>
      <c r="N28" t="b">
        <f t="shared" si="0"/>
        <v>0</v>
      </c>
      <c r="O28" t="s">
        <v>278</v>
      </c>
      <c r="P28" s="10" t="s">
        <v>57</v>
      </c>
      <c r="Q28" s="10" t="s">
        <v>58</v>
      </c>
      <c r="R28" s="10" t="s">
        <v>322</v>
      </c>
      <c r="S28" t="str">
        <f>VLOOKUP(Q28,[2]Sheet2!$D:$E,2,FALSE)</f>
        <v>Public</v>
      </c>
      <c r="T28" t="str">
        <f>VLOOKUP(Q28,[2]Sheet2!$D:$F,3,FALSE)</f>
        <v>Public</v>
      </c>
      <c r="U28" t="str">
        <f>VLOOKUP(Q28,[2]Sheet2!$D:$G,4,FALSE)</f>
        <v>Public</v>
      </c>
    </row>
    <row r="29" spans="1:21" x14ac:dyDescent="0.3">
      <c r="A29" s="10" t="s">
        <v>59</v>
      </c>
      <c r="B29" s="10" t="s">
        <v>291</v>
      </c>
      <c r="C29" s="10" t="s">
        <v>291</v>
      </c>
      <c r="D29" s="10" t="s">
        <v>291</v>
      </c>
      <c r="E29" s="10" t="s">
        <v>291</v>
      </c>
      <c r="F29" s="10" t="s">
        <v>292</v>
      </c>
      <c r="G29" s="10" t="s">
        <v>293</v>
      </c>
      <c r="H29" s="11" t="s">
        <v>305</v>
      </c>
      <c r="I29" s="10" t="s">
        <v>301</v>
      </c>
      <c r="J29" s="10" t="s">
        <v>201</v>
      </c>
      <c r="K29" t="str">
        <f>VLOOKUP(A29,[1]Sheet4!A:B,2,FALSE)</f>
        <v>point_of_origin</v>
      </c>
      <c r="L29" t="str">
        <f>VLOOKUP(K29,[3]Combined_Columns!$A:$B,2,FALSE)</f>
        <v>employee_onboard</v>
      </c>
      <c r="M29" t="str">
        <f>VLOOKUP(K29,[3]Combined_Columns!$A:$E,5,FALSE)</f>
        <v>varchar</v>
      </c>
      <c r="N29" t="b">
        <f t="shared" si="0"/>
        <v>0</v>
      </c>
      <c r="O29" t="s">
        <v>278</v>
      </c>
      <c r="P29" s="10" t="s">
        <v>59</v>
      </c>
      <c r="Q29" s="10" t="s">
        <v>60</v>
      </c>
      <c r="R29" s="10" t="s">
        <v>322</v>
      </c>
      <c r="S29" t="str">
        <f>VLOOKUP(Q29,[2]Sheet2!$D:$E,2,FALSE)</f>
        <v>Y</v>
      </c>
      <c r="T29">
        <f>VLOOKUP(Q29,[2]Sheet2!$D:$F,3,FALSE)</f>
        <v>0</v>
      </c>
      <c r="U29">
        <f>VLOOKUP(Q29,[2]Sheet2!$D:$G,4,FALSE)</f>
        <v>0</v>
      </c>
    </row>
    <row r="30" spans="1:21" x14ac:dyDescent="0.3">
      <c r="A30" s="10" t="s">
        <v>61</v>
      </c>
      <c r="B30" s="10" t="s">
        <v>291</v>
      </c>
      <c r="C30" s="10" t="s">
        <v>291</v>
      </c>
      <c r="D30" s="10" t="s">
        <v>291</v>
      </c>
      <c r="E30" s="10" t="s">
        <v>291</v>
      </c>
      <c r="F30" s="10" t="s">
        <v>292</v>
      </c>
      <c r="G30" s="10" t="s">
        <v>293</v>
      </c>
      <c r="H30" s="11" t="s">
        <v>308</v>
      </c>
      <c r="I30" s="10" t="s">
        <v>301</v>
      </c>
      <c r="J30" s="10" t="s">
        <v>201</v>
      </c>
      <c r="K30" t="str">
        <f>VLOOKUP(A30,[1]Sheet4!A:B,2,FALSE)</f>
        <v>education</v>
      </c>
      <c r="L30" t="str">
        <f>VLOOKUP(K30,[3]Combined_Columns!$A:$B,2,FALSE)</f>
        <v>employee_core</v>
      </c>
      <c r="M30" t="str">
        <f>VLOOKUP(K30,[3]Combined_Columns!$A:$E,5,FALSE)</f>
        <v>varchar</v>
      </c>
      <c r="N30" t="b">
        <f t="shared" si="0"/>
        <v>0</v>
      </c>
      <c r="O30" t="s">
        <v>278</v>
      </c>
      <c r="P30" s="10" t="s">
        <v>61</v>
      </c>
      <c r="Q30" s="10" t="s">
        <v>62</v>
      </c>
      <c r="R30" s="10" t="s">
        <v>304</v>
      </c>
      <c r="S30" t="str">
        <f>VLOOKUP(Q30,[2]Sheet2!$D:$E,2,FALSE)</f>
        <v>Y</v>
      </c>
      <c r="T30">
        <f>VLOOKUP(Q30,[2]Sheet2!$D:$F,3,FALSE)</f>
        <v>0</v>
      </c>
      <c r="U30">
        <f>VLOOKUP(Q30,[2]Sheet2!$D:$G,4,FALSE)</f>
        <v>0</v>
      </c>
    </row>
    <row r="31" spans="1:21" x14ac:dyDescent="0.3">
      <c r="A31" s="10" t="s">
        <v>63</v>
      </c>
      <c r="B31" s="10" t="s">
        <v>291</v>
      </c>
      <c r="C31" s="10" t="s">
        <v>291</v>
      </c>
      <c r="D31" s="10" t="s">
        <v>291</v>
      </c>
      <c r="E31" s="10" t="s">
        <v>291</v>
      </c>
      <c r="F31" s="10" t="s">
        <v>292</v>
      </c>
      <c r="G31" s="10" t="s">
        <v>293</v>
      </c>
      <c r="H31" s="11" t="s">
        <v>308</v>
      </c>
      <c r="I31" s="10" t="s">
        <v>323</v>
      </c>
      <c r="J31" s="10" t="s">
        <v>201</v>
      </c>
      <c r="K31" t="str">
        <f>VLOOKUP(A31,[1]Sheet4!A:B,2,FALSE)</f>
        <v>schedule_type</v>
      </c>
      <c r="L31" t="str">
        <f>VLOOKUP(K31,[3]Combined_Columns!$A:$B,2,FALSE)</f>
        <v>employee_onboard</v>
      </c>
      <c r="M31" t="str">
        <f>VLOOKUP(K31,[3]Combined_Columns!$A:$E,5,FALSE)</f>
        <v>varchar</v>
      </c>
      <c r="N31" t="b">
        <f t="shared" si="0"/>
        <v>0</v>
      </c>
      <c r="O31" t="s">
        <v>278</v>
      </c>
      <c r="P31" s="10" t="s">
        <v>63</v>
      </c>
      <c r="Q31" s="10" t="s">
        <v>64</v>
      </c>
      <c r="R31" s="10" t="s">
        <v>322</v>
      </c>
      <c r="S31" t="str">
        <f>VLOOKUP(Q31,[2]Sheet2!$D:$E,2,FALSE)</f>
        <v>Y</v>
      </c>
      <c r="T31">
        <f>VLOOKUP(Q31,[2]Sheet2!$D:$F,3,FALSE)</f>
        <v>0</v>
      </c>
      <c r="U31" t="str">
        <f>VLOOKUP(Q31,[2]Sheet2!$D:$G,4,FALSE)</f>
        <v>Y</v>
      </c>
    </row>
    <row r="32" spans="1:21" x14ac:dyDescent="0.3">
      <c r="A32" s="10" t="s">
        <v>65</v>
      </c>
      <c r="B32" s="10" t="s">
        <v>291</v>
      </c>
      <c r="C32" s="10" t="s">
        <v>291</v>
      </c>
      <c r="D32" s="10" t="s">
        <v>301</v>
      </c>
      <c r="E32" s="10" t="s">
        <v>301</v>
      </c>
      <c r="F32" s="10" t="s">
        <v>302</v>
      </c>
      <c r="G32" s="10" t="s">
        <v>293</v>
      </c>
      <c r="H32" s="11" t="s">
        <v>309</v>
      </c>
      <c r="I32" s="10" t="s">
        <v>303</v>
      </c>
      <c r="J32" s="10" t="s">
        <v>201</v>
      </c>
      <c r="K32" t="str">
        <f>VLOOKUP(A32,[1]Sheet4!A:B,2,FALSE)</f>
        <v>first_join_date_merdeka</v>
      </c>
      <c r="L32" t="str">
        <f>VLOOKUP(K32,[3]Combined_Columns!$A:$B,2,FALSE)</f>
        <v>employee_onboard</v>
      </c>
      <c r="M32" t="str">
        <f>VLOOKUP(K32,[3]Combined_Columns!$A:$E,5,FALSE)</f>
        <v>date</v>
      </c>
      <c r="N32" t="b">
        <f t="shared" si="0"/>
        <v>0</v>
      </c>
      <c r="O32" t="s">
        <v>278</v>
      </c>
      <c r="P32" s="10" t="s">
        <v>65</v>
      </c>
      <c r="Q32" s="10" t="s">
        <v>66</v>
      </c>
      <c r="R32" s="10" t="s">
        <v>322</v>
      </c>
      <c r="S32" t="str">
        <f>VLOOKUP(Q32,[2]Sheet2!$D:$E,2,FALSE)</f>
        <v>Y</v>
      </c>
      <c r="T32">
        <f>VLOOKUP(Q32,[2]Sheet2!$D:$F,3,FALSE)</f>
        <v>0</v>
      </c>
      <c r="U32">
        <f>VLOOKUP(Q32,[2]Sheet2!$D:$G,4,FALSE)</f>
        <v>0</v>
      </c>
    </row>
    <row r="33" spans="1:21" x14ac:dyDescent="0.3">
      <c r="A33" s="10" t="s">
        <v>67</v>
      </c>
      <c r="B33" s="10" t="s">
        <v>291</v>
      </c>
      <c r="C33" s="10" t="s">
        <v>291</v>
      </c>
      <c r="D33" s="10" t="s">
        <v>301</v>
      </c>
      <c r="E33" s="10" t="s">
        <v>301</v>
      </c>
      <c r="F33" s="10" t="s">
        <v>302</v>
      </c>
      <c r="G33" s="10" t="s">
        <v>293</v>
      </c>
      <c r="H33" s="11" t="s">
        <v>309</v>
      </c>
      <c r="I33" s="10" t="s">
        <v>303</v>
      </c>
      <c r="J33" s="10" t="s">
        <v>201</v>
      </c>
      <c r="K33" t="str">
        <f>VLOOKUP(A33,[1]Sheet4!A:B,2,FALSE)</f>
        <v>transfer_merdeka</v>
      </c>
      <c r="L33" t="str">
        <f>VLOOKUP(K33,[3]Combined_Columns!$A:$B,2,FALSE)</f>
        <v>employee_onboard</v>
      </c>
      <c r="M33" t="str">
        <f>VLOOKUP(K33,[3]Combined_Columns!$A:$E,5,FALSE)</f>
        <v>date</v>
      </c>
      <c r="N33" t="b">
        <f t="shared" si="0"/>
        <v>0</v>
      </c>
      <c r="O33" t="s">
        <v>278</v>
      </c>
      <c r="P33" s="10" t="s">
        <v>67</v>
      </c>
      <c r="Q33" s="10" t="s">
        <v>68</v>
      </c>
      <c r="R33" s="10" t="s">
        <v>322</v>
      </c>
      <c r="S33" t="str">
        <f>VLOOKUP(Q33,[2]Sheet2!$D:$E,2,FALSE)</f>
        <v>Y</v>
      </c>
      <c r="T33">
        <f>VLOOKUP(Q33,[2]Sheet2!$D:$F,3,FALSE)</f>
        <v>0</v>
      </c>
      <c r="U33">
        <f>VLOOKUP(Q33,[2]Sheet2!$D:$G,4,FALSE)</f>
        <v>0</v>
      </c>
    </row>
    <row r="34" spans="1:21" x14ac:dyDescent="0.3">
      <c r="A34" s="10" t="s">
        <v>69</v>
      </c>
      <c r="B34" s="10" t="s">
        <v>291</v>
      </c>
      <c r="C34" s="10" t="s">
        <v>291</v>
      </c>
      <c r="D34" s="10" t="s">
        <v>291</v>
      </c>
      <c r="E34" s="10" t="s">
        <v>291</v>
      </c>
      <c r="F34" s="10" t="s">
        <v>292</v>
      </c>
      <c r="G34" s="10" t="s">
        <v>293</v>
      </c>
      <c r="H34" s="11" t="s">
        <v>309</v>
      </c>
      <c r="I34" s="10" t="s">
        <v>301</v>
      </c>
      <c r="J34" s="10" t="s">
        <v>201</v>
      </c>
      <c r="K34" t="str">
        <f>VLOOKUP(A34,[1]Sheet4!A:B,2,FALSE)</f>
        <v>first_join_date</v>
      </c>
      <c r="L34" t="str">
        <f>VLOOKUP(K34,[3]Combined_Columns!$A:$B,2,FALSE)</f>
        <v>employee_onboard</v>
      </c>
      <c r="M34" t="str">
        <f>VLOOKUP(K34,[3]Combined_Columns!$A:$E,5,FALSE)</f>
        <v>date</v>
      </c>
      <c r="N34" t="b">
        <f t="shared" si="0"/>
        <v>0</v>
      </c>
      <c r="O34" t="s">
        <v>278</v>
      </c>
      <c r="P34" s="10" t="s">
        <v>69</v>
      </c>
      <c r="Q34" s="10" t="s">
        <v>70</v>
      </c>
      <c r="R34" s="10" t="s">
        <v>322</v>
      </c>
      <c r="S34" t="str">
        <f>VLOOKUP(Q34,[2]Sheet2!$D:$E,2,FALSE)</f>
        <v>Public</v>
      </c>
      <c r="T34" t="str">
        <f>VLOOKUP(Q34,[2]Sheet2!$D:$F,3,FALSE)</f>
        <v>Public</v>
      </c>
      <c r="U34" t="str">
        <f>VLOOKUP(Q34,[2]Sheet2!$D:$G,4,FALSE)</f>
        <v>Public</v>
      </c>
    </row>
    <row r="35" spans="1:21" x14ac:dyDescent="0.3">
      <c r="A35" s="10" t="s">
        <v>71</v>
      </c>
      <c r="B35" s="10" t="s">
        <v>291</v>
      </c>
      <c r="C35" s="10" t="s">
        <v>291</v>
      </c>
      <c r="D35" s="10" t="s">
        <v>291</v>
      </c>
      <c r="E35" s="10" t="s">
        <v>291</v>
      </c>
      <c r="F35" s="10" t="s">
        <v>292</v>
      </c>
      <c r="G35" s="10" t="s">
        <v>293</v>
      </c>
      <c r="H35" s="11" t="s">
        <v>309</v>
      </c>
      <c r="I35" s="10" t="s">
        <v>301</v>
      </c>
      <c r="J35" s="10" t="s">
        <v>201</v>
      </c>
      <c r="K35" t="str">
        <f>VLOOKUP(A35,[1]Sheet4!A:B,2,FALSE)</f>
        <v>join_date</v>
      </c>
      <c r="L35" t="str">
        <f>VLOOKUP(K35,[3]Combined_Columns!$A:$B,2,FALSE)</f>
        <v>employee_onboard</v>
      </c>
      <c r="M35" t="str">
        <f>VLOOKUP(K35,[3]Combined_Columns!$A:$E,5,FALSE)</f>
        <v>date</v>
      </c>
      <c r="N35" t="b">
        <f t="shared" si="0"/>
        <v>0</v>
      </c>
      <c r="O35" t="s">
        <v>278</v>
      </c>
      <c r="P35" s="10" t="s">
        <v>71</v>
      </c>
      <c r="Q35" s="10" t="s">
        <v>72</v>
      </c>
      <c r="R35" s="10" t="s">
        <v>322</v>
      </c>
      <c r="S35" t="str">
        <f>VLOOKUP(Q35,[2]Sheet2!$D:$E,2,FALSE)</f>
        <v>Y</v>
      </c>
      <c r="T35">
        <f>VLOOKUP(Q35,[2]Sheet2!$D:$F,3,FALSE)</f>
        <v>0</v>
      </c>
      <c r="U35" t="str">
        <f>VLOOKUP(Q35,[2]Sheet2!$D:$G,4,FALSE)</f>
        <v>Y</v>
      </c>
    </row>
    <row r="36" spans="1:21" x14ac:dyDescent="0.3">
      <c r="A36" s="10" t="s">
        <v>73</v>
      </c>
      <c r="B36" s="10" t="s">
        <v>291</v>
      </c>
      <c r="C36" s="10" t="s">
        <v>291</v>
      </c>
      <c r="D36" s="10" t="s">
        <v>291</v>
      </c>
      <c r="E36" s="10" t="s">
        <v>291</v>
      </c>
      <c r="F36" s="10" t="s">
        <v>292</v>
      </c>
      <c r="G36" s="10" t="s">
        <v>293</v>
      </c>
      <c r="H36" s="11" t="s">
        <v>315</v>
      </c>
      <c r="I36" s="10" t="s">
        <v>324</v>
      </c>
      <c r="J36" s="10" t="s">
        <v>201</v>
      </c>
      <c r="K36" t="str">
        <f>VLOOKUP(A36,[1]Sheet4!A:B,2,FALSE)</f>
        <v>employment_status</v>
      </c>
      <c r="L36" t="str">
        <f>VLOOKUP(K36,[3]Combined_Columns!$A:$B,2,FALSE)</f>
        <v>employee_onboard</v>
      </c>
      <c r="M36" t="str">
        <f>VLOOKUP(K36,[3]Combined_Columns!$A:$E,5,FALSE)</f>
        <v>varchar</v>
      </c>
      <c r="N36" t="b">
        <f t="shared" si="0"/>
        <v>0</v>
      </c>
      <c r="O36" t="s">
        <v>278</v>
      </c>
      <c r="P36" s="10" t="s">
        <v>73</v>
      </c>
      <c r="Q36" s="10" t="s">
        <v>74</v>
      </c>
      <c r="R36" s="10" t="s">
        <v>322</v>
      </c>
      <c r="S36" t="str">
        <f>VLOOKUP(Q36,[2]Sheet2!$D:$E,2,FALSE)</f>
        <v>Public</v>
      </c>
      <c r="T36" t="str">
        <f>VLOOKUP(Q36,[2]Sheet2!$D:$F,3,FALSE)</f>
        <v>Public</v>
      </c>
      <c r="U36" t="str">
        <f>VLOOKUP(Q36,[2]Sheet2!$D:$G,4,FALSE)</f>
        <v>Public</v>
      </c>
    </row>
    <row r="37" spans="1:21" x14ac:dyDescent="0.3">
      <c r="A37" s="10" t="s">
        <v>75</v>
      </c>
      <c r="B37" s="10" t="s">
        <v>291</v>
      </c>
      <c r="C37" s="10" t="s">
        <v>291</v>
      </c>
      <c r="D37" s="10" t="s">
        <v>291</v>
      </c>
      <c r="E37" s="10" t="s">
        <v>291</v>
      </c>
      <c r="F37" s="10" t="s">
        <v>292</v>
      </c>
      <c r="G37" s="10" t="s">
        <v>293</v>
      </c>
      <c r="H37" s="11" t="s">
        <v>309</v>
      </c>
      <c r="I37" s="10" t="s">
        <v>301</v>
      </c>
      <c r="J37" s="10" t="s">
        <v>201</v>
      </c>
      <c r="K37" t="str">
        <f>VLOOKUP(A37,[1]Sheet4!A:B,2,FALSE)</f>
        <v>end_contract</v>
      </c>
      <c r="L37" t="str">
        <f>VLOOKUP(K37,[3]Combined_Columns!$A:$B,2,FALSE)</f>
        <v>employee_onboard</v>
      </c>
      <c r="M37" t="str">
        <f>VLOOKUP(K37,[3]Combined_Columns!$A:$E,5,FALSE)</f>
        <v>date</v>
      </c>
      <c r="N37" t="b">
        <f t="shared" si="0"/>
        <v>0</v>
      </c>
      <c r="O37" t="s">
        <v>278</v>
      </c>
      <c r="P37" s="10" t="s">
        <v>75</v>
      </c>
      <c r="Q37" s="10" t="s">
        <v>76</v>
      </c>
      <c r="R37" s="10" t="s">
        <v>322</v>
      </c>
      <c r="S37" t="str">
        <f>VLOOKUP(Q37,[2]Sheet2!$D:$E,2,FALSE)</f>
        <v>Y</v>
      </c>
      <c r="T37">
        <f>VLOOKUP(Q37,[2]Sheet2!$D:$F,3,FALSE)</f>
        <v>0</v>
      </c>
      <c r="U37" t="str">
        <f>VLOOKUP(Q37,[2]Sheet2!$D:$G,4,FALSE)</f>
        <v>Y</v>
      </c>
    </row>
    <row r="38" spans="1:21" x14ac:dyDescent="0.3">
      <c r="A38" s="10" t="s">
        <v>77</v>
      </c>
      <c r="B38" s="10" t="s">
        <v>291</v>
      </c>
      <c r="C38" s="10" t="s">
        <v>291</v>
      </c>
      <c r="D38" s="10" t="s">
        <v>291</v>
      </c>
      <c r="E38" s="10" t="s">
        <v>291</v>
      </c>
      <c r="F38" s="10" t="s">
        <v>292</v>
      </c>
      <c r="G38" s="10" t="s">
        <v>293</v>
      </c>
      <c r="H38" s="11" t="s">
        <v>308</v>
      </c>
      <c r="I38" s="10" t="s">
        <v>325</v>
      </c>
      <c r="J38" s="10" t="s">
        <v>278</v>
      </c>
      <c r="K38" s="10" t="s">
        <v>78</v>
      </c>
      <c r="L38" t="str">
        <f>VLOOKUP(K38,[3]Combined_Columns!$A:$B,2,FALSE)</f>
        <v>employee_onboard</v>
      </c>
      <c r="M38" t="str">
        <f>VLOOKUP(K38,[3]Combined_Columns!$A:$E,5,FALSE)</f>
        <v>int</v>
      </c>
      <c r="N38" t="b">
        <f t="shared" si="0"/>
        <v>1</v>
      </c>
      <c r="O38" t="s">
        <v>278</v>
      </c>
      <c r="P38" s="10" t="s">
        <v>77</v>
      </c>
      <c r="Q38" s="10" t="s">
        <v>78</v>
      </c>
      <c r="R38" s="10" t="s">
        <v>322</v>
      </c>
      <c r="S38" t="str">
        <f>VLOOKUP(Q38,[2]Sheet2!$D:$E,2,FALSE)</f>
        <v>Y</v>
      </c>
      <c r="T38">
        <f>VLOOKUP(Q38,[2]Sheet2!$D:$F,3,FALSE)</f>
        <v>0</v>
      </c>
      <c r="U38" t="str">
        <f>VLOOKUP(Q38,[2]Sheet2!$D:$G,4,FALSE)</f>
        <v>Y</v>
      </c>
    </row>
    <row r="39" spans="1:21" x14ac:dyDescent="0.3">
      <c r="A39" s="10" t="s">
        <v>79</v>
      </c>
      <c r="B39" s="10" t="s">
        <v>291</v>
      </c>
      <c r="C39" s="10" t="s">
        <v>291</v>
      </c>
      <c r="D39" s="10" t="s">
        <v>301</v>
      </c>
      <c r="E39" s="10" t="s">
        <v>301</v>
      </c>
      <c r="F39" s="10" t="s">
        <v>302</v>
      </c>
      <c r="G39" s="10" t="s">
        <v>293</v>
      </c>
      <c r="H39" s="11" t="s">
        <v>298</v>
      </c>
      <c r="I39" s="10" t="s">
        <v>302</v>
      </c>
      <c r="J39" s="10" t="s">
        <v>201</v>
      </c>
      <c r="K39">
        <f>VLOOKUP(A39,[1]Sheet4!A:B,2,FALSE)</f>
        <v>0</v>
      </c>
      <c r="M39" t="e">
        <f>VLOOKUP(K39,[3]Combined_Columns!$A:$E,5,FALSE)</f>
        <v>#N/A</v>
      </c>
      <c r="O39" t="s">
        <v>201</v>
      </c>
      <c r="P39" s="10" t="s">
        <v>79</v>
      </c>
      <c r="Q39" s="10" t="s">
        <v>80</v>
      </c>
      <c r="R39" s="10" t="s">
        <v>304</v>
      </c>
      <c r="S39" t="e">
        <f>VLOOKUP(Q39,[2]Sheet2!$D:$E,2,FALSE)</f>
        <v>#N/A</v>
      </c>
      <c r="T39" t="e">
        <f>VLOOKUP(Q39,[2]Sheet2!$D:$F,3,FALSE)</f>
        <v>#N/A</v>
      </c>
      <c r="U39" t="e">
        <f>VLOOKUP(Q39,[2]Sheet2!$D:$G,4,FALSE)</f>
        <v>#N/A</v>
      </c>
    </row>
    <row r="40" spans="1:21" x14ac:dyDescent="0.3">
      <c r="A40" s="10" t="s">
        <v>81</v>
      </c>
      <c r="B40" s="10" t="s">
        <v>291</v>
      </c>
      <c r="C40" s="10" t="s">
        <v>291</v>
      </c>
      <c r="D40" s="10" t="s">
        <v>301</v>
      </c>
      <c r="E40" s="10" t="s">
        <v>301</v>
      </c>
      <c r="F40" s="10" t="s">
        <v>302</v>
      </c>
      <c r="G40" s="10" t="s">
        <v>293</v>
      </c>
      <c r="H40" s="11" t="s">
        <v>308</v>
      </c>
      <c r="I40" s="10" t="s">
        <v>301</v>
      </c>
      <c r="J40" s="10" t="s">
        <v>201</v>
      </c>
      <c r="K40">
        <f>VLOOKUP(A40,[1]Sheet4!A:B,2,FALSE)</f>
        <v>0</v>
      </c>
      <c r="M40" t="e">
        <f>VLOOKUP(K40,[3]Combined_Columns!$A:$E,5,FALSE)</f>
        <v>#N/A</v>
      </c>
      <c r="O40" t="s">
        <v>201</v>
      </c>
      <c r="P40" s="10" t="s">
        <v>81</v>
      </c>
      <c r="Q40" s="10" t="s">
        <v>82</v>
      </c>
      <c r="R40" s="10" t="s">
        <v>304</v>
      </c>
      <c r="S40" t="e">
        <f>VLOOKUP(Q40,[2]Sheet2!$D:$E,2,FALSE)</f>
        <v>#N/A</v>
      </c>
      <c r="T40" t="e">
        <f>VLOOKUP(Q40,[2]Sheet2!$D:$F,3,FALSE)</f>
        <v>#N/A</v>
      </c>
      <c r="U40" t="e">
        <f>VLOOKUP(Q40,[2]Sheet2!$D:$G,4,FALSE)</f>
        <v>#N/A</v>
      </c>
    </row>
    <row r="41" spans="1:21" x14ac:dyDescent="0.3">
      <c r="A41" s="10" t="s">
        <v>83</v>
      </c>
      <c r="B41" s="10" t="s">
        <v>301</v>
      </c>
      <c r="C41" s="10" t="s">
        <v>301</v>
      </c>
      <c r="D41" s="10" t="s">
        <v>291</v>
      </c>
      <c r="E41" s="10" t="s">
        <v>291</v>
      </c>
      <c r="F41" s="10" t="s">
        <v>326</v>
      </c>
      <c r="G41" s="10" t="s">
        <v>293</v>
      </c>
      <c r="H41" s="11" t="s">
        <v>305</v>
      </c>
      <c r="I41" s="10" t="s">
        <v>327</v>
      </c>
      <c r="J41" s="10" t="s">
        <v>201</v>
      </c>
      <c r="K41" t="str">
        <f>VLOOKUP(A41,[1]Sheet4!A:B,2,FALSE)</f>
        <v>company_office</v>
      </c>
      <c r="L41" t="str">
        <f>VLOOKUP(K41,[3]Combined_Columns!$A:$B,2,FALSE)</f>
        <v>employee_employment</v>
      </c>
      <c r="M41" t="str">
        <f>VLOOKUP(K41,[3]Combined_Columns!$A:$E,5,FALSE)</f>
        <v>varchar</v>
      </c>
      <c r="N41" t="b">
        <f t="shared" si="0"/>
        <v>0</v>
      </c>
      <c r="O41" t="s">
        <v>278</v>
      </c>
      <c r="P41" s="10" t="s">
        <v>83</v>
      </c>
      <c r="Q41" s="10" t="s">
        <v>84</v>
      </c>
      <c r="R41" s="10" t="s">
        <v>328</v>
      </c>
      <c r="S41" t="str">
        <f>VLOOKUP(Q41,[2]Sheet2!$D:$E,2,FALSE)</f>
        <v>Y</v>
      </c>
      <c r="T41" t="str">
        <f>VLOOKUP(Q41,[2]Sheet2!$D:$F,3,FALSE)</f>
        <v>Y</v>
      </c>
      <c r="U41">
        <f>VLOOKUP(Q41,[2]Sheet2!$D:$G,4,FALSE)</f>
        <v>0</v>
      </c>
    </row>
    <row r="42" spans="1:21" x14ac:dyDescent="0.3">
      <c r="A42" s="10" t="s">
        <v>85</v>
      </c>
      <c r="B42" s="10" t="s">
        <v>301</v>
      </c>
      <c r="C42" s="10" t="s">
        <v>301</v>
      </c>
      <c r="D42" s="10" t="s">
        <v>291</v>
      </c>
      <c r="E42" s="10" t="s">
        <v>291</v>
      </c>
      <c r="F42" s="10" t="s">
        <v>326</v>
      </c>
      <c r="G42" s="10" t="s">
        <v>293</v>
      </c>
      <c r="H42" s="11" t="s">
        <v>305</v>
      </c>
      <c r="I42" s="10" t="s">
        <v>327</v>
      </c>
      <c r="J42" s="10" t="s">
        <v>201</v>
      </c>
      <c r="K42" t="str">
        <f>VLOOKUP(A42,[1]Sheet4!A:B,2,FALSE)</f>
        <v>work_location</v>
      </c>
      <c r="L42" t="str">
        <f>VLOOKUP(K42,[3]Combined_Columns!$A:$B,2,FALSE)</f>
        <v>employee_employment</v>
      </c>
      <c r="M42" t="str">
        <f>VLOOKUP(K42,[3]Combined_Columns!$A:$E,5,FALSE)</f>
        <v>varchar</v>
      </c>
      <c r="N42" t="b">
        <f t="shared" si="0"/>
        <v>0</v>
      </c>
      <c r="O42" t="s">
        <v>278</v>
      </c>
      <c r="P42" s="10" t="s">
        <v>85</v>
      </c>
      <c r="Q42" s="10" t="s">
        <v>86</v>
      </c>
      <c r="R42" s="10" t="s">
        <v>328</v>
      </c>
      <c r="S42" t="str">
        <f>VLOOKUP(Q42,[2]Sheet2!$D:$E,2,FALSE)</f>
        <v>Y</v>
      </c>
      <c r="T42" t="str">
        <f>VLOOKUP(Q42,[2]Sheet2!$D:$F,3,FALSE)</f>
        <v>Y</v>
      </c>
      <c r="U42">
        <f>VLOOKUP(Q42,[2]Sheet2!$D:$G,4,FALSE)</f>
        <v>0</v>
      </c>
    </row>
    <row r="43" spans="1:21" x14ac:dyDescent="0.3">
      <c r="A43" s="10" t="s">
        <v>87</v>
      </c>
      <c r="B43" s="10" t="s">
        <v>291</v>
      </c>
      <c r="C43" s="10" t="s">
        <v>291</v>
      </c>
      <c r="D43" s="10" t="s">
        <v>291</v>
      </c>
      <c r="E43" s="10" t="s">
        <v>291</v>
      </c>
      <c r="F43" s="10" t="s">
        <v>292</v>
      </c>
      <c r="G43" s="10" t="s">
        <v>293</v>
      </c>
      <c r="H43" s="11" t="s">
        <v>305</v>
      </c>
      <c r="I43" s="10" t="s">
        <v>301</v>
      </c>
      <c r="J43" s="10" t="s">
        <v>201</v>
      </c>
      <c r="K43" t="str">
        <f>VLOOKUP(A43,[1]Sheet4!A:B,2,FALSE)</f>
        <v>division</v>
      </c>
      <c r="L43" t="str">
        <f>VLOOKUP(K43,[3]Combined_Columns!$A:$B,2,FALSE)</f>
        <v>employee_employment</v>
      </c>
      <c r="M43" t="str">
        <f>VLOOKUP(K43,[3]Combined_Columns!$A:$E,5,FALSE)</f>
        <v>varchar</v>
      </c>
      <c r="N43" t="b">
        <f t="shared" si="0"/>
        <v>0</v>
      </c>
      <c r="O43" t="s">
        <v>278</v>
      </c>
      <c r="P43" s="10" t="s">
        <v>87</v>
      </c>
      <c r="Q43" s="10" t="s">
        <v>88</v>
      </c>
      <c r="R43" s="10" t="s">
        <v>328</v>
      </c>
      <c r="S43" t="str">
        <f>VLOOKUP(Q43,[2]Sheet2!$D:$E,2,FALSE)</f>
        <v>Y</v>
      </c>
      <c r="T43" t="str">
        <f>VLOOKUP(Q43,[2]Sheet2!$D:$F,3,FALSE)</f>
        <v>Y</v>
      </c>
      <c r="U43">
        <f>VLOOKUP(Q43,[2]Sheet2!$D:$G,4,FALSE)</f>
        <v>0</v>
      </c>
    </row>
    <row r="44" spans="1:21" x14ac:dyDescent="0.3">
      <c r="A44" s="10" t="s">
        <v>89</v>
      </c>
      <c r="B44" s="10" t="s">
        <v>291</v>
      </c>
      <c r="C44" s="10" t="s">
        <v>291</v>
      </c>
      <c r="D44" s="10" t="s">
        <v>291</v>
      </c>
      <c r="E44" s="10" t="s">
        <v>291</v>
      </c>
      <c r="F44" s="10" t="s">
        <v>292</v>
      </c>
      <c r="G44" s="10" t="s">
        <v>293</v>
      </c>
      <c r="H44" s="11" t="s">
        <v>305</v>
      </c>
      <c r="I44" s="10" t="s">
        <v>301</v>
      </c>
      <c r="J44" s="10" t="s">
        <v>201</v>
      </c>
      <c r="K44" t="str">
        <f>VLOOKUP(A44,[1]Sheet4!A:B,2,FALSE)</f>
        <v>department</v>
      </c>
      <c r="L44" t="str">
        <f>VLOOKUP(K44,[3]Combined_Columns!$A:$B,2,FALSE)</f>
        <v>employee_employment</v>
      </c>
      <c r="M44" t="str">
        <f>VLOOKUP(K44,[3]Combined_Columns!$A:$E,5,FALSE)</f>
        <v>varchar</v>
      </c>
      <c r="N44" t="b">
        <f t="shared" si="0"/>
        <v>0</v>
      </c>
      <c r="O44" t="s">
        <v>278</v>
      </c>
      <c r="P44" s="10" t="s">
        <v>89</v>
      </c>
      <c r="Q44" s="10" t="s">
        <v>90</v>
      </c>
      <c r="R44" s="10" t="s">
        <v>328</v>
      </c>
      <c r="S44" t="str">
        <f>VLOOKUP(Q44,[2]Sheet2!$D:$E,2,FALSE)</f>
        <v>Public</v>
      </c>
      <c r="T44" t="str">
        <f>VLOOKUP(Q44,[2]Sheet2!$D:$F,3,FALSE)</f>
        <v>Public</v>
      </c>
      <c r="U44" t="str">
        <f>VLOOKUP(Q44,[2]Sheet2!$D:$G,4,FALSE)</f>
        <v>Public</v>
      </c>
    </row>
    <row r="45" spans="1:21" x14ac:dyDescent="0.3">
      <c r="A45" s="10" t="s">
        <v>91</v>
      </c>
      <c r="B45" s="10" t="s">
        <v>291</v>
      </c>
      <c r="C45" s="10" t="s">
        <v>291</v>
      </c>
      <c r="D45" s="10" t="s">
        <v>291</v>
      </c>
      <c r="E45" s="10" t="s">
        <v>291</v>
      </c>
      <c r="F45" s="10" t="s">
        <v>292</v>
      </c>
      <c r="G45" s="10" t="s">
        <v>293</v>
      </c>
      <c r="H45" s="11" t="s">
        <v>305</v>
      </c>
      <c r="I45" s="10" t="s">
        <v>301</v>
      </c>
      <c r="J45" s="10" t="s">
        <v>201</v>
      </c>
      <c r="K45" t="str">
        <f>VLOOKUP(A45,[1]Sheet4!A:B,2,FALSE)</f>
        <v>section</v>
      </c>
      <c r="L45" t="str">
        <f>VLOOKUP(K45,[3]Combined_Columns!$A:$B,2,FALSE)</f>
        <v>employee_employment</v>
      </c>
      <c r="M45" t="str">
        <f>VLOOKUP(K45,[3]Combined_Columns!$A:$E,5,FALSE)</f>
        <v>varchar</v>
      </c>
      <c r="N45" t="b">
        <f t="shared" si="0"/>
        <v>0</v>
      </c>
      <c r="O45" t="s">
        <v>278</v>
      </c>
      <c r="P45" s="10" t="s">
        <v>91</v>
      </c>
      <c r="Q45" s="10" t="s">
        <v>92</v>
      </c>
      <c r="R45" s="10" t="s">
        <v>328</v>
      </c>
      <c r="S45" t="str">
        <f>VLOOKUP(Q45,[2]Sheet2!$D:$E,2,FALSE)</f>
        <v>Public</v>
      </c>
      <c r="T45" t="str">
        <f>VLOOKUP(Q45,[2]Sheet2!$D:$F,3,FALSE)</f>
        <v>Public</v>
      </c>
      <c r="U45" t="str">
        <f>VLOOKUP(Q45,[2]Sheet2!$D:$G,4,FALSE)</f>
        <v>Public</v>
      </c>
    </row>
    <row r="46" spans="1:21" x14ac:dyDescent="0.3">
      <c r="A46" s="10" t="s">
        <v>93</v>
      </c>
      <c r="B46" s="10" t="s">
        <v>291</v>
      </c>
      <c r="C46" s="10" t="s">
        <v>291</v>
      </c>
      <c r="D46" s="10" t="s">
        <v>291</v>
      </c>
      <c r="E46" s="10" t="s">
        <v>291</v>
      </c>
      <c r="F46" s="10" t="s">
        <v>292</v>
      </c>
      <c r="G46" s="10" t="s">
        <v>293</v>
      </c>
      <c r="H46" s="11" t="s">
        <v>305</v>
      </c>
      <c r="I46" s="10" t="s">
        <v>329</v>
      </c>
      <c r="J46" s="10" t="s">
        <v>201</v>
      </c>
      <c r="K46" t="str">
        <f>VLOOKUP(A46,[1]Sheet4!A:B,2,FALSE)</f>
        <v>direct_report</v>
      </c>
      <c r="L46" t="str">
        <f>VLOOKUP(K46,[3]Combined_Columns!$A:$B,2,FALSE)</f>
        <v>employee_employment</v>
      </c>
      <c r="M46" t="str">
        <f>VLOOKUP(K46,[3]Combined_Columns!$A:$E,5,FALSE)</f>
        <v>varchar</v>
      </c>
      <c r="N46" t="b">
        <f t="shared" si="0"/>
        <v>0</v>
      </c>
      <c r="O46" t="s">
        <v>278</v>
      </c>
      <c r="P46" s="10" t="s">
        <v>93</v>
      </c>
      <c r="Q46" s="10" t="s">
        <v>94</v>
      </c>
      <c r="R46" s="10" t="s">
        <v>328</v>
      </c>
      <c r="S46" t="str">
        <f>VLOOKUP(Q46,[2]Sheet2!$D:$E,2,FALSE)</f>
        <v>Y</v>
      </c>
      <c r="T46" t="str">
        <f>VLOOKUP(Q46,[2]Sheet2!$D:$F,3,FALSE)</f>
        <v>Y</v>
      </c>
      <c r="U46">
        <f>VLOOKUP(Q46,[2]Sheet2!$D:$G,4,FALSE)</f>
        <v>0</v>
      </c>
    </row>
    <row r="47" spans="1:21" x14ac:dyDescent="0.3">
      <c r="A47" s="10" t="s">
        <v>95</v>
      </c>
      <c r="B47" s="10" t="s">
        <v>291</v>
      </c>
      <c r="C47" s="10" t="s">
        <v>291</v>
      </c>
      <c r="D47" s="10" t="s">
        <v>291</v>
      </c>
      <c r="E47" s="10" t="s">
        <v>291</v>
      </c>
      <c r="F47" s="10" t="s">
        <v>292</v>
      </c>
      <c r="G47" s="10" t="s">
        <v>293</v>
      </c>
      <c r="H47" s="11" t="s">
        <v>305</v>
      </c>
      <c r="I47" s="10" t="s">
        <v>301</v>
      </c>
      <c r="J47" s="10" t="s">
        <v>201</v>
      </c>
      <c r="K47" t="str">
        <f>VLOOKUP(A47,[1]Sheet4!A:B,2,FALSE)</f>
        <v>job_title</v>
      </c>
      <c r="L47" t="str">
        <f>VLOOKUP(K47,[3]Combined_Columns!$A:$B,2,FALSE)</f>
        <v>employee_employment</v>
      </c>
      <c r="M47" t="str">
        <f>VLOOKUP(K47,[3]Combined_Columns!$A:$E,5,FALSE)</f>
        <v>varchar</v>
      </c>
      <c r="N47" t="b">
        <f t="shared" si="0"/>
        <v>0</v>
      </c>
      <c r="O47" t="s">
        <v>278</v>
      </c>
      <c r="P47" s="10" t="s">
        <v>95</v>
      </c>
      <c r="Q47" s="10" t="s">
        <v>96</v>
      </c>
      <c r="R47" s="10" t="s">
        <v>328</v>
      </c>
      <c r="S47" t="str">
        <f>VLOOKUP(Q47,[2]Sheet2!$D:$E,2,FALSE)</f>
        <v>Public</v>
      </c>
      <c r="T47" t="str">
        <f>VLOOKUP(Q47,[2]Sheet2!$D:$F,3,FALSE)</f>
        <v>Public</v>
      </c>
      <c r="U47" t="str">
        <f>VLOOKUP(Q47,[2]Sheet2!$D:$G,4,FALSE)</f>
        <v>Public</v>
      </c>
    </row>
    <row r="48" spans="1:21" x14ac:dyDescent="0.3">
      <c r="A48" s="10" t="s">
        <v>97</v>
      </c>
      <c r="B48" s="10" t="s">
        <v>291</v>
      </c>
      <c r="C48" s="10" t="s">
        <v>291</v>
      </c>
      <c r="D48" s="10" t="s">
        <v>291</v>
      </c>
      <c r="E48" s="10" t="s">
        <v>291</v>
      </c>
      <c r="F48" s="10" t="s">
        <v>292</v>
      </c>
      <c r="G48" s="10" t="s">
        <v>293</v>
      </c>
      <c r="H48" s="11" t="s">
        <v>306</v>
      </c>
      <c r="I48" s="10" t="s">
        <v>301</v>
      </c>
      <c r="J48" s="10" t="s">
        <v>201</v>
      </c>
      <c r="K48" t="str">
        <f>VLOOKUP(A48,[1]Sheet4!A:B,2,FALSE)</f>
        <v>grade</v>
      </c>
      <c r="L48" t="str">
        <f>VLOOKUP(K48,[3]Combined_Columns!$A:$B,2,FALSE)</f>
        <v>employee_employment</v>
      </c>
      <c r="M48" t="str">
        <f>VLOOKUP(K48,[3]Combined_Columns!$A:$E,5,FALSE)</f>
        <v>varchar</v>
      </c>
      <c r="N48" t="b">
        <f t="shared" si="0"/>
        <v>0</v>
      </c>
      <c r="O48" t="s">
        <v>278</v>
      </c>
      <c r="P48" s="10" t="s">
        <v>97</v>
      </c>
      <c r="Q48" s="10" t="s">
        <v>98</v>
      </c>
      <c r="R48" s="10" t="s">
        <v>328</v>
      </c>
      <c r="S48" t="str">
        <f>VLOOKUP(Q48,[2]Sheet2!$D:$E,2,FALSE)</f>
        <v>Confidential</v>
      </c>
      <c r="T48" t="str">
        <f>VLOOKUP(Q48,[2]Sheet2!$D:$F,3,FALSE)</f>
        <v>Confidential</v>
      </c>
      <c r="U48" t="str">
        <f>VLOOKUP(Q48,[2]Sheet2!$D:$G,4,FALSE)</f>
        <v>Confidential</v>
      </c>
    </row>
    <row r="49" spans="1:21" x14ac:dyDescent="0.3">
      <c r="A49" s="10" t="s">
        <v>99</v>
      </c>
      <c r="B49" s="10" t="s">
        <v>291</v>
      </c>
      <c r="C49" s="10" t="s">
        <v>291</v>
      </c>
      <c r="D49" s="10" t="s">
        <v>291</v>
      </c>
      <c r="E49" s="10" t="s">
        <v>291</v>
      </c>
      <c r="F49" s="10" t="s">
        <v>292</v>
      </c>
      <c r="G49" s="10" t="s">
        <v>293</v>
      </c>
      <c r="H49" s="11" t="s">
        <v>308</v>
      </c>
      <c r="I49" s="10" t="s">
        <v>330</v>
      </c>
      <c r="J49" s="10" t="s">
        <v>201</v>
      </c>
      <c r="K49" t="str">
        <f>VLOOKUP(A49,[1]Sheet4!A:B,2,FALSE)</f>
        <v>position_grade</v>
      </c>
      <c r="L49" t="str">
        <f>VLOOKUP(K49,[3]Combined_Columns!$A:$B,2,FALSE)</f>
        <v>employee_employment</v>
      </c>
      <c r="M49" t="str">
        <f>VLOOKUP(K49,[3]Combined_Columns!$A:$E,5,FALSE)</f>
        <v>varchar</v>
      </c>
      <c r="N49" t="b">
        <f t="shared" si="0"/>
        <v>0</v>
      </c>
      <c r="O49" t="s">
        <v>278</v>
      </c>
      <c r="P49" s="10" t="s">
        <v>99</v>
      </c>
      <c r="Q49" s="10" t="s">
        <v>100</v>
      </c>
      <c r="R49" s="10" t="s">
        <v>328</v>
      </c>
      <c r="S49" t="str">
        <f>VLOOKUP(Q49,[2]Sheet2!$D:$E,2,FALSE)</f>
        <v>Public</v>
      </c>
      <c r="T49" t="str">
        <f>VLOOKUP(Q49,[2]Sheet2!$D:$F,3,FALSE)</f>
        <v>Public</v>
      </c>
      <c r="U49" t="str">
        <f>VLOOKUP(Q49,[2]Sheet2!$D:$G,4,FALSE)</f>
        <v>Public</v>
      </c>
    </row>
    <row r="50" spans="1:21" x14ac:dyDescent="0.3">
      <c r="A50" s="10" t="s">
        <v>101</v>
      </c>
      <c r="B50" s="10" t="s">
        <v>291</v>
      </c>
      <c r="C50" s="10" t="s">
        <v>291</v>
      </c>
      <c r="D50" s="10" t="s">
        <v>291</v>
      </c>
      <c r="E50" s="10" t="s">
        <v>291</v>
      </c>
      <c r="F50" s="10" t="s">
        <v>292</v>
      </c>
      <c r="G50" s="10" t="s">
        <v>293</v>
      </c>
      <c r="H50" s="11" t="s">
        <v>305</v>
      </c>
      <c r="I50" s="10" t="s">
        <v>301</v>
      </c>
      <c r="J50" s="10" t="s">
        <v>201</v>
      </c>
      <c r="K50" t="str">
        <f>VLOOKUP(A50,[1]Sheet4!A:B,2,FALSE)</f>
        <v>group_job_title</v>
      </c>
      <c r="L50" t="str">
        <f>VLOOKUP(K50,[3]Combined_Columns!$A:$B,2,FALSE)</f>
        <v>employee_employment</v>
      </c>
      <c r="M50" t="str">
        <f>VLOOKUP(K50,[3]Combined_Columns!$A:$E,5,FALSE)</f>
        <v>varchar</v>
      </c>
      <c r="N50" t="b">
        <f t="shared" si="0"/>
        <v>0</v>
      </c>
      <c r="O50" t="s">
        <v>278</v>
      </c>
      <c r="P50" s="10" t="s">
        <v>101</v>
      </c>
      <c r="Q50" s="10" t="s">
        <v>102</v>
      </c>
      <c r="R50" s="10" t="s">
        <v>328</v>
      </c>
      <c r="S50" t="str">
        <f>VLOOKUP(Q50,[2]Sheet2!$D:$E,2,FALSE)</f>
        <v>Y</v>
      </c>
      <c r="T50" t="str">
        <f>VLOOKUP(Q50,[2]Sheet2!$D:$F,3,FALSE)</f>
        <v>Y</v>
      </c>
      <c r="U50">
        <f>VLOOKUP(Q50,[2]Sheet2!$D:$G,4,FALSE)</f>
        <v>0</v>
      </c>
    </row>
    <row r="51" spans="1:21" x14ac:dyDescent="0.3">
      <c r="A51" s="10" t="s">
        <v>103</v>
      </c>
      <c r="B51" s="10" t="s">
        <v>291</v>
      </c>
      <c r="C51" s="10" t="s">
        <v>291</v>
      </c>
      <c r="D51" s="10" t="s">
        <v>301</v>
      </c>
      <c r="E51" s="10" t="s">
        <v>301</v>
      </c>
      <c r="F51" s="10" t="s">
        <v>302</v>
      </c>
      <c r="G51" s="10" t="s">
        <v>293</v>
      </c>
      <c r="H51" s="11" t="s">
        <v>305</v>
      </c>
      <c r="I51" s="10" t="s">
        <v>302</v>
      </c>
      <c r="J51" s="10" t="s">
        <v>201</v>
      </c>
      <c r="K51" t="str">
        <f>VLOOKUP(A51,[1]Sheet4!A:B,2,FALSE)</f>
        <v>bank_name</v>
      </c>
      <c r="L51" t="str">
        <f>VLOOKUP(K51,[3]Combined_Columns!$A:$B,2,FALSE)</f>
        <v>employee_bank</v>
      </c>
      <c r="M51" t="str">
        <f>VLOOKUP(K51,[3]Combined_Columns!$A:$E,5,FALSE)</f>
        <v>varchar</v>
      </c>
      <c r="N51" t="b">
        <f t="shared" si="0"/>
        <v>0</v>
      </c>
      <c r="O51" t="s">
        <v>278</v>
      </c>
      <c r="P51" s="10" t="s">
        <v>103</v>
      </c>
      <c r="Q51" s="10" t="s">
        <v>104</v>
      </c>
      <c r="R51" s="10" t="s">
        <v>331</v>
      </c>
      <c r="S51">
        <f>VLOOKUP(Q51,[2]Sheet2!$D:$E,2,FALSE)</f>
        <v>0</v>
      </c>
      <c r="T51" t="str">
        <f>VLOOKUP(Q51,[2]Sheet2!$D:$F,3,FALSE)</f>
        <v>Y</v>
      </c>
      <c r="U51">
        <f>VLOOKUP(Q51,[2]Sheet2!$D:$G,4,FALSE)</f>
        <v>0</v>
      </c>
    </row>
    <row r="52" spans="1:21" x14ac:dyDescent="0.3">
      <c r="A52" s="10" t="s">
        <v>105</v>
      </c>
      <c r="B52" s="10" t="s">
        <v>291</v>
      </c>
      <c r="C52" s="10" t="s">
        <v>291</v>
      </c>
      <c r="D52" s="10" t="s">
        <v>301</v>
      </c>
      <c r="E52" s="10" t="s">
        <v>301</v>
      </c>
      <c r="F52" s="10" t="s">
        <v>302</v>
      </c>
      <c r="G52" s="10" t="s">
        <v>293</v>
      </c>
      <c r="H52" s="11" t="s">
        <v>305</v>
      </c>
      <c r="I52" s="10" t="s">
        <v>302</v>
      </c>
      <c r="J52" s="10" t="s">
        <v>201</v>
      </c>
      <c r="K52" t="str">
        <f>VLOOKUP(A52,[1]Sheet4!A:B,2,FALSE)</f>
        <v>account_name</v>
      </c>
      <c r="L52" t="str">
        <f>VLOOKUP(K52,[3]Combined_Columns!$A:$B,2,FALSE)</f>
        <v>employee_bank</v>
      </c>
      <c r="M52" t="str">
        <f>VLOOKUP(K52,[3]Combined_Columns!$A:$E,5,FALSE)</f>
        <v>varchar</v>
      </c>
      <c r="N52" t="b">
        <f t="shared" si="0"/>
        <v>0</v>
      </c>
      <c r="O52" t="s">
        <v>278</v>
      </c>
      <c r="P52" s="10" t="s">
        <v>105</v>
      </c>
      <c r="Q52" s="10" t="s">
        <v>106</v>
      </c>
      <c r="R52" s="10" t="s">
        <v>331</v>
      </c>
      <c r="S52">
        <f>VLOOKUP(Q52,[2]Sheet2!$D:$E,2,FALSE)</f>
        <v>0</v>
      </c>
      <c r="T52" t="str">
        <f>VLOOKUP(Q52,[2]Sheet2!$D:$F,3,FALSE)</f>
        <v>Y</v>
      </c>
      <c r="U52">
        <f>VLOOKUP(Q52,[2]Sheet2!$D:$G,4,FALSE)</f>
        <v>0</v>
      </c>
    </row>
    <row r="53" spans="1:21" x14ac:dyDescent="0.3">
      <c r="A53" s="10" t="s">
        <v>107</v>
      </c>
      <c r="B53" s="10" t="s">
        <v>291</v>
      </c>
      <c r="C53" s="10" t="s">
        <v>291</v>
      </c>
      <c r="D53" s="10" t="s">
        <v>301</v>
      </c>
      <c r="E53" s="10" t="s">
        <v>301</v>
      </c>
      <c r="F53" s="10" t="s">
        <v>302</v>
      </c>
      <c r="G53" s="10" t="s">
        <v>293</v>
      </c>
      <c r="H53" s="11" t="s">
        <v>308</v>
      </c>
      <c r="I53" s="10" t="s">
        <v>302</v>
      </c>
      <c r="J53" s="10" t="s">
        <v>201</v>
      </c>
      <c r="K53" t="str">
        <f>VLOOKUP(A53,[1]Sheet4!A:B,2,FALSE)</f>
        <v>account_no</v>
      </c>
      <c r="L53" t="str">
        <f>VLOOKUP(K53,[3]Combined_Columns!$A:$B,2,FALSE)</f>
        <v>employee_bank</v>
      </c>
      <c r="M53" t="str">
        <f>VLOOKUP(K53,[3]Combined_Columns!$A:$E,5,FALSE)</f>
        <v>varchar</v>
      </c>
      <c r="N53" t="b">
        <f t="shared" si="0"/>
        <v>0</v>
      </c>
      <c r="O53" t="s">
        <v>278</v>
      </c>
      <c r="P53" s="10" t="s">
        <v>107</v>
      </c>
      <c r="Q53" s="10" t="s">
        <v>108</v>
      </c>
      <c r="R53" s="10" t="s">
        <v>331</v>
      </c>
      <c r="S53">
        <f>VLOOKUP(Q53,[2]Sheet2!$D:$E,2,FALSE)</f>
        <v>0</v>
      </c>
      <c r="T53" t="str">
        <f>VLOOKUP(Q53,[2]Sheet2!$D:$F,3,FALSE)</f>
        <v>Y</v>
      </c>
      <c r="U53">
        <f>VLOOKUP(Q53,[2]Sheet2!$D:$G,4,FALSE)</f>
        <v>0</v>
      </c>
    </row>
    <row r="54" spans="1:21" x14ac:dyDescent="0.3">
      <c r="A54" s="10" t="s">
        <v>109</v>
      </c>
      <c r="B54" s="10" t="s">
        <v>291</v>
      </c>
      <c r="C54" s="10" t="s">
        <v>291</v>
      </c>
      <c r="D54" s="10" t="s">
        <v>291</v>
      </c>
      <c r="E54" s="10" t="s">
        <v>291</v>
      </c>
      <c r="F54" s="10" t="s">
        <v>292</v>
      </c>
      <c r="G54" s="10" t="s">
        <v>293</v>
      </c>
      <c r="H54" s="11" t="s">
        <v>319</v>
      </c>
      <c r="I54" s="10" t="s">
        <v>301</v>
      </c>
      <c r="J54" s="10" t="s">
        <v>201</v>
      </c>
      <c r="K54" t="str">
        <f>VLOOKUP(A54,[1]Sheet4!A:B,2,FALSE)</f>
        <v>npwp</v>
      </c>
      <c r="L54" t="str">
        <f>VLOOKUP(K54,[3]Combined_Columns!$A:$B,2,FALSE)</f>
        <v>employee_core</v>
      </c>
      <c r="M54" t="str">
        <f>VLOOKUP(K54,[3]Combined_Columns!$A:$E,5,FALSE)</f>
        <v>varchar</v>
      </c>
      <c r="N54" t="b">
        <f t="shared" si="0"/>
        <v>0</v>
      </c>
      <c r="O54" t="s">
        <v>278</v>
      </c>
      <c r="P54" s="10" t="s">
        <v>109</v>
      </c>
      <c r="Q54" s="10" t="s">
        <v>110</v>
      </c>
      <c r="R54" s="10" t="s">
        <v>304</v>
      </c>
      <c r="S54">
        <f>VLOOKUP(Q54,[2]Sheet2!$D:$E,2,FALSE)</f>
        <v>0</v>
      </c>
      <c r="T54" t="str">
        <f>VLOOKUP(Q54,[2]Sheet2!$D:$F,3,FALSE)</f>
        <v>Y</v>
      </c>
      <c r="U54">
        <f>VLOOKUP(Q54,[2]Sheet2!$D:$G,4,FALSE)</f>
        <v>0</v>
      </c>
    </row>
    <row r="55" spans="1:21" x14ac:dyDescent="0.3">
      <c r="A55" s="10" t="s">
        <v>111</v>
      </c>
      <c r="B55" s="10" t="s">
        <v>291</v>
      </c>
      <c r="C55" s="10" t="s">
        <v>291</v>
      </c>
      <c r="D55" s="10" t="s">
        <v>291</v>
      </c>
      <c r="E55" s="10" t="s">
        <v>291</v>
      </c>
      <c r="F55" s="10" t="s">
        <v>292</v>
      </c>
      <c r="G55" s="10" t="s">
        <v>293</v>
      </c>
      <c r="H55" s="11" t="s">
        <v>315</v>
      </c>
      <c r="I55" s="10" t="s">
        <v>301</v>
      </c>
      <c r="J55" s="10" t="s">
        <v>201</v>
      </c>
      <c r="K55" t="str">
        <f>VLOOKUP(A55,[1]Sheet4!A:B,2,FALSE)</f>
        <v>bpjs_tk</v>
      </c>
      <c r="L55" t="str">
        <f>VLOOKUP(K55,[3]Combined_Columns!$A:$B,2,FALSE)</f>
        <v>employee_insurance</v>
      </c>
      <c r="M55" t="str">
        <f>VLOOKUP(K55,[3]Combined_Columns!$A:$E,5,FALSE)</f>
        <v>varchar</v>
      </c>
      <c r="N55" t="b">
        <f t="shared" si="0"/>
        <v>0</v>
      </c>
      <c r="O55" t="s">
        <v>278</v>
      </c>
      <c r="P55" s="10" t="s">
        <v>111</v>
      </c>
      <c r="Q55" s="10" t="s">
        <v>112</v>
      </c>
      <c r="R55" s="10" t="s">
        <v>296</v>
      </c>
      <c r="S55">
        <f>VLOOKUP(Q55,[2]Sheet2!$D:$E,2,FALSE)</f>
        <v>0</v>
      </c>
      <c r="T55">
        <f>VLOOKUP(Q55,[2]Sheet2!$D:$F,3,FALSE)</f>
        <v>0</v>
      </c>
      <c r="U55" t="str">
        <f>VLOOKUP(Q55,[2]Sheet2!$D:$G,4,FALSE)</f>
        <v>Y</v>
      </c>
    </row>
    <row r="56" spans="1:21" x14ac:dyDescent="0.3">
      <c r="A56" s="10" t="s">
        <v>113</v>
      </c>
      <c r="B56" s="10" t="s">
        <v>291</v>
      </c>
      <c r="C56" s="10" t="s">
        <v>291</v>
      </c>
      <c r="D56" s="10" t="s">
        <v>291</v>
      </c>
      <c r="E56" s="10" t="s">
        <v>291</v>
      </c>
      <c r="F56" s="10" t="s">
        <v>292</v>
      </c>
      <c r="G56" s="10" t="s">
        <v>293</v>
      </c>
      <c r="H56" s="11" t="s">
        <v>315</v>
      </c>
      <c r="I56" s="10" t="s">
        <v>301</v>
      </c>
      <c r="J56" s="10" t="s">
        <v>201</v>
      </c>
      <c r="K56" t="str">
        <f>VLOOKUP(A56,[1]Sheet4!A:B,2,FALSE)</f>
        <v>bpjs_kes</v>
      </c>
      <c r="L56" t="str">
        <f>VLOOKUP(K56,[3]Combined_Columns!$A:$B,2,FALSE)</f>
        <v>employee_insurance</v>
      </c>
      <c r="M56" t="str">
        <f>VLOOKUP(K56,[3]Combined_Columns!$A:$E,5,FALSE)</f>
        <v>varchar</v>
      </c>
      <c r="N56" t="b">
        <f t="shared" si="0"/>
        <v>0</v>
      </c>
      <c r="O56" t="s">
        <v>278</v>
      </c>
      <c r="P56" s="10" t="s">
        <v>113</v>
      </c>
      <c r="Q56" s="10" t="s">
        <v>114</v>
      </c>
      <c r="R56" s="10" t="s">
        <v>296</v>
      </c>
      <c r="S56">
        <f>VLOOKUP(Q56,[2]Sheet2!$D:$E,2,FALSE)</f>
        <v>0</v>
      </c>
      <c r="T56">
        <f>VLOOKUP(Q56,[2]Sheet2!$D:$F,3,FALSE)</f>
        <v>0</v>
      </c>
      <c r="U56" t="str">
        <f>VLOOKUP(Q56,[2]Sheet2!$D:$G,4,FALSE)</f>
        <v>Y</v>
      </c>
    </row>
    <row r="57" spans="1:21" x14ac:dyDescent="0.3">
      <c r="A57" s="10" t="s">
        <v>115</v>
      </c>
      <c r="B57" s="10" t="s">
        <v>291</v>
      </c>
      <c r="C57" s="10" t="s">
        <v>301</v>
      </c>
      <c r="D57" s="10" t="s">
        <v>291</v>
      </c>
      <c r="E57" s="10" t="s">
        <v>291</v>
      </c>
      <c r="F57" s="10" t="s">
        <v>292</v>
      </c>
      <c r="G57" s="10" t="s">
        <v>332</v>
      </c>
      <c r="H57" s="11" t="s">
        <v>315</v>
      </c>
      <c r="I57" s="10" t="s">
        <v>333</v>
      </c>
      <c r="J57" s="10" t="s">
        <v>201</v>
      </c>
      <c r="K57" t="str">
        <f>VLOOKUP(A57,[1]Sheet4!A:B,2,FALSE)</f>
        <v>status_bpjs_kes</v>
      </c>
      <c r="L57" t="str">
        <f>VLOOKUP(K57,[3]Combined_Columns!$A:$B,2,FALSE)</f>
        <v>employee_insurance</v>
      </c>
      <c r="M57" t="str">
        <f>VLOOKUP(K57,[3]Combined_Columns!$A:$E,5,FALSE)</f>
        <v>varchar</v>
      </c>
      <c r="N57" t="b">
        <f t="shared" si="0"/>
        <v>0</v>
      </c>
      <c r="O57" t="s">
        <v>278</v>
      </c>
      <c r="P57" s="10" t="s">
        <v>115</v>
      </c>
      <c r="Q57" s="10" t="s">
        <v>116</v>
      </c>
      <c r="R57" s="10" t="s">
        <v>296</v>
      </c>
      <c r="S57" t="str">
        <f>VLOOKUP(Q57,[2]Sheet2!$D:$E,2,FALSE)</f>
        <v>Confidential</v>
      </c>
      <c r="T57" t="str">
        <f>VLOOKUP(Q57,[2]Sheet2!$D:$F,3,FALSE)</f>
        <v>Confidential</v>
      </c>
      <c r="U57" t="str">
        <f>VLOOKUP(Q57,[2]Sheet2!$D:$G,4,FALSE)</f>
        <v>Confidential</v>
      </c>
    </row>
    <row r="58" spans="1:21" x14ac:dyDescent="0.3">
      <c r="A58" s="10" t="s">
        <v>117</v>
      </c>
      <c r="B58" s="10" t="s">
        <v>301</v>
      </c>
      <c r="C58" s="10" t="s">
        <v>301</v>
      </c>
      <c r="D58" s="10" t="s">
        <v>291</v>
      </c>
      <c r="E58" s="10" t="s">
        <v>291</v>
      </c>
      <c r="F58" s="10" t="s">
        <v>326</v>
      </c>
      <c r="G58" s="10" t="s">
        <v>293</v>
      </c>
      <c r="H58" s="11" t="s">
        <v>308</v>
      </c>
      <c r="I58" s="10" t="s">
        <v>327</v>
      </c>
      <c r="J58" s="10" t="s">
        <v>201</v>
      </c>
      <c r="K58" t="str">
        <f>VLOOKUP(A58,[1]Sheet4!A:B,2,FALSE)</f>
        <v>kitas_no</v>
      </c>
      <c r="L58" t="str">
        <f>VLOOKUP(K58,[3]Combined_Columns!$A:$B,2,FALSE)</f>
        <v>employee_travel</v>
      </c>
      <c r="M58" t="str">
        <f>VLOOKUP(K58,[3]Combined_Columns!$A:$E,5,FALSE)</f>
        <v>varchar</v>
      </c>
      <c r="N58" t="b">
        <f t="shared" si="0"/>
        <v>0</v>
      </c>
      <c r="O58" t="s">
        <v>278</v>
      </c>
      <c r="P58" s="10" t="s">
        <v>117</v>
      </c>
      <c r="Q58" s="10" t="s">
        <v>118</v>
      </c>
      <c r="R58" s="10" t="s">
        <v>334</v>
      </c>
      <c r="S58" t="str">
        <f>VLOOKUP(Q58,[2]Sheet2!$D:$E,2,FALSE)</f>
        <v>Confidential</v>
      </c>
      <c r="T58" t="str">
        <f>VLOOKUP(Q58,[2]Sheet2!$D:$F,3,FALSE)</f>
        <v>Confidential</v>
      </c>
      <c r="U58" t="str">
        <f>VLOOKUP(Q58,[2]Sheet2!$D:$G,4,FALSE)</f>
        <v>Confidential</v>
      </c>
    </row>
    <row r="59" spans="1:21" x14ac:dyDescent="0.3">
      <c r="A59" s="10" t="s">
        <v>119</v>
      </c>
      <c r="B59" s="10" t="s">
        <v>301</v>
      </c>
      <c r="C59" s="10" t="s">
        <v>301</v>
      </c>
      <c r="D59" s="10" t="s">
        <v>291</v>
      </c>
      <c r="E59" s="10" t="s">
        <v>291</v>
      </c>
      <c r="F59" s="10" t="s">
        <v>326</v>
      </c>
      <c r="G59" s="10" t="s">
        <v>293</v>
      </c>
      <c r="H59" s="11" t="s">
        <v>308</v>
      </c>
      <c r="I59" s="10" t="s">
        <v>327</v>
      </c>
      <c r="J59" s="10" t="s">
        <v>201</v>
      </c>
      <c r="K59" t="str">
        <f>VLOOKUP(A59,[1]Sheet4!A:B,2,FALSE)</f>
        <v>passport_no</v>
      </c>
      <c r="L59" t="str">
        <f>VLOOKUP(K59,[3]Combined_Columns!$A:$B,2,FALSE)</f>
        <v>employee_travel</v>
      </c>
      <c r="M59" t="str">
        <f>VLOOKUP(K59,[3]Combined_Columns!$A:$E,5,FALSE)</f>
        <v>varchar</v>
      </c>
      <c r="N59" t="b">
        <f t="shared" si="0"/>
        <v>0</v>
      </c>
      <c r="O59" t="s">
        <v>278</v>
      </c>
      <c r="P59" s="10" t="s">
        <v>119</v>
      </c>
      <c r="Q59" s="10" t="s">
        <v>120</v>
      </c>
      <c r="R59" s="10" t="s">
        <v>334</v>
      </c>
      <c r="S59" t="str">
        <f>VLOOKUP(Q59,[2]Sheet2!$D:$E,2,FALSE)</f>
        <v>Confidential</v>
      </c>
      <c r="T59" t="str">
        <f>VLOOKUP(Q59,[2]Sheet2!$D:$F,3,FALSE)</f>
        <v>Confidential</v>
      </c>
      <c r="U59" t="str">
        <f>VLOOKUP(Q59,[2]Sheet2!$D:$G,4,FALSE)</f>
        <v>Confidential</v>
      </c>
    </row>
    <row r="60" spans="1:21" x14ac:dyDescent="0.3">
      <c r="A60" s="10" t="s">
        <v>121</v>
      </c>
      <c r="B60" s="10" t="s">
        <v>291</v>
      </c>
      <c r="C60" s="10" t="s">
        <v>301</v>
      </c>
      <c r="D60" s="10" t="s">
        <v>291</v>
      </c>
      <c r="E60" s="10" t="s">
        <v>301</v>
      </c>
      <c r="F60" s="10" t="s">
        <v>292</v>
      </c>
      <c r="G60" s="10" t="s">
        <v>335</v>
      </c>
      <c r="H60" s="11" t="s">
        <v>309</v>
      </c>
      <c r="I60" s="10" t="s">
        <v>301</v>
      </c>
      <c r="J60" s="10" t="s">
        <v>201</v>
      </c>
      <c r="K60" t="str">
        <f>VLOOKUP(A60,[1]Sheet4!A:B,2,FALSE)</f>
        <v>travel_in</v>
      </c>
      <c r="L60" t="str">
        <f>VLOOKUP(K60,[3]Combined_Columns!$A:$B,2,FALSE)</f>
        <v>employee_travel</v>
      </c>
      <c r="M60" t="str">
        <f>VLOOKUP(K60,[3]Combined_Columns!$A:$E,5,FALSE)</f>
        <v>date</v>
      </c>
      <c r="N60" t="b">
        <f t="shared" si="0"/>
        <v>0</v>
      </c>
      <c r="O60" t="s">
        <v>278</v>
      </c>
      <c r="P60" s="10" t="s">
        <v>121</v>
      </c>
      <c r="Q60" s="10" t="s">
        <v>122</v>
      </c>
      <c r="R60" s="10" t="s">
        <v>334</v>
      </c>
      <c r="S60" t="str">
        <f>VLOOKUP(Q60,[2]Sheet2!$D:$E,2,FALSE)</f>
        <v>Confidential</v>
      </c>
      <c r="T60" t="str">
        <f>VLOOKUP(Q60,[2]Sheet2!$D:$F,3,FALSE)</f>
        <v>Confidential</v>
      </c>
      <c r="U60" t="str">
        <f>VLOOKUP(Q60,[2]Sheet2!$D:$G,4,FALSE)</f>
        <v>Confidential</v>
      </c>
    </row>
    <row r="61" spans="1:21" x14ac:dyDescent="0.3">
      <c r="A61" s="10" t="s">
        <v>123</v>
      </c>
      <c r="B61" s="10" t="s">
        <v>291</v>
      </c>
      <c r="C61" s="10" t="s">
        <v>301</v>
      </c>
      <c r="D61" s="10" t="s">
        <v>291</v>
      </c>
      <c r="E61" s="10" t="s">
        <v>301</v>
      </c>
      <c r="F61" s="10" t="s">
        <v>292</v>
      </c>
      <c r="G61" s="10" t="s">
        <v>335</v>
      </c>
      <c r="H61" s="11" t="s">
        <v>309</v>
      </c>
      <c r="I61" s="10" t="s">
        <v>301</v>
      </c>
      <c r="J61" s="10" t="s">
        <v>201</v>
      </c>
      <c r="K61" t="str">
        <f>VLOOKUP(A61,[1]Sheet4!A:B,2,FALSE)</f>
        <v>travel_out</v>
      </c>
      <c r="L61" t="str">
        <f>VLOOKUP(K61,[3]Combined_Columns!$A:$B,2,FALSE)</f>
        <v>employee_travel</v>
      </c>
      <c r="M61" t="str">
        <f>VLOOKUP(K61,[3]Combined_Columns!$A:$E,5,FALSE)</f>
        <v>date</v>
      </c>
      <c r="N61" t="b">
        <f t="shared" si="0"/>
        <v>0</v>
      </c>
      <c r="O61" t="s">
        <v>278</v>
      </c>
      <c r="P61" s="10" t="s">
        <v>123</v>
      </c>
      <c r="Q61" s="10" t="s">
        <v>124</v>
      </c>
      <c r="R61" s="10" t="s">
        <v>334</v>
      </c>
      <c r="S61" t="str">
        <f>VLOOKUP(Q61,[2]Sheet2!$D:$E,2,FALSE)</f>
        <v>Confidential</v>
      </c>
      <c r="T61" t="str">
        <f>VLOOKUP(Q61,[2]Sheet2!$D:$F,3,FALSE)</f>
        <v>Confidential</v>
      </c>
      <c r="U61" t="str">
        <f>VLOOKUP(Q61,[2]Sheet2!$D:$G,4,FALSE)</f>
        <v>Confidential</v>
      </c>
    </row>
    <row r="62" spans="1:21" x14ac:dyDescent="0.3">
      <c r="A62" s="10" t="s">
        <v>125</v>
      </c>
      <c r="B62" s="10" t="s">
        <v>301</v>
      </c>
      <c r="C62" s="10" t="s">
        <v>291</v>
      </c>
      <c r="D62" s="10" t="s">
        <v>301</v>
      </c>
      <c r="E62" s="10" t="s">
        <v>301</v>
      </c>
      <c r="F62" s="10" t="s">
        <v>302</v>
      </c>
      <c r="G62" s="10" t="s">
        <v>336</v>
      </c>
      <c r="H62" s="11" t="s">
        <v>315</v>
      </c>
      <c r="I62" s="10" t="s">
        <v>337</v>
      </c>
      <c r="J62" s="10" t="s">
        <v>201</v>
      </c>
      <c r="K62">
        <f>VLOOKUP(A62,[1]Sheet4!A:B,2,FALSE)</f>
        <v>0</v>
      </c>
      <c r="M62" t="e">
        <f>VLOOKUP(K62,[3]Combined_Columns!$A:$E,5,FALSE)</f>
        <v>#N/A</v>
      </c>
      <c r="O62" t="s">
        <v>201</v>
      </c>
      <c r="P62" s="10" t="s">
        <v>125</v>
      </c>
      <c r="Q62" s="10" t="s">
        <v>126</v>
      </c>
      <c r="R62" s="10" t="s">
        <v>296</v>
      </c>
      <c r="S62" t="e">
        <f>VLOOKUP(Q62,[2]Sheet2!$D:$E,2,FALSE)</f>
        <v>#N/A</v>
      </c>
      <c r="T62" t="e">
        <f>VLOOKUP(Q62,[2]Sheet2!$D:$F,3,FALSE)</f>
        <v>#N/A</v>
      </c>
      <c r="U62" t="e">
        <f>VLOOKUP(Q62,[2]Sheet2!$D:$G,4,FALSE)</f>
        <v>#N/A</v>
      </c>
    </row>
    <row r="63" spans="1:21" x14ac:dyDescent="0.3">
      <c r="A63" s="10" t="s">
        <v>127</v>
      </c>
      <c r="B63" s="10" t="s">
        <v>301</v>
      </c>
      <c r="C63" s="10" t="s">
        <v>291</v>
      </c>
      <c r="D63" s="10" t="s">
        <v>301</v>
      </c>
      <c r="E63" s="10" t="s">
        <v>301</v>
      </c>
      <c r="F63" s="10" t="s">
        <v>302</v>
      </c>
      <c r="G63" s="10" t="s">
        <v>336</v>
      </c>
      <c r="H63" s="11" t="s">
        <v>315</v>
      </c>
      <c r="I63" s="10" t="s">
        <v>337</v>
      </c>
      <c r="J63" s="10" t="s">
        <v>201</v>
      </c>
      <c r="K63">
        <f>VLOOKUP(A63,[1]Sheet4!A:B,2,FALSE)</f>
        <v>0</v>
      </c>
      <c r="M63" t="e">
        <f>VLOOKUP(K63,[3]Combined_Columns!$A:$E,5,FALSE)</f>
        <v>#N/A</v>
      </c>
      <c r="O63" t="s">
        <v>201</v>
      </c>
      <c r="P63" s="10" t="s">
        <v>127</v>
      </c>
      <c r="Q63" s="10" t="s">
        <v>128</v>
      </c>
      <c r="R63" s="10" t="s">
        <v>296</v>
      </c>
      <c r="S63" t="e">
        <f>VLOOKUP(Q63,[2]Sheet2!$D:$E,2,FALSE)</f>
        <v>#N/A</v>
      </c>
      <c r="T63" t="e">
        <f>VLOOKUP(Q63,[2]Sheet2!$D:$F,3,FALSE)</f>
        <v>#N/A</v>
      </c>
      <c r="U63" t="e">
        <f>VLOOKUP(Q63,[2]Sheet2!$D:$G,4,FALSE)</f>
        <v>#N/A</v>
      </c>
    </row>
    <row r="64" spans="1:21" x14ac:dyDescent="0.3">
      <c r="A64" s="10" t="s">
        <v>129</v>
      </c>
      <c r="B64" s="10" t="s">
        <v>301</v>
      </c>
      <c r="C64" s="10" t="s">
        <v>291</v>
      </c>
      <c r="D64" s="10" t="s">
        <v>301</v>
      </c>
      <c r="E64" s="10" t="s">
        <v>291</v>
      </c>
      <c r="F64" s="10" t="s">
        <v>292</v>
      </c>
      <c r="G64" s="10" t="s">
        <v>336</v>
      </c>
      <c r="H64" s="11" t="s">
        <v>309</v>
      </c>
      <c r="I64" s="10" t="s">
        <v>301</v>
      </c>
      <c r="J64" s="10" t="s">
        <v>201</v>
      </c>
      <c r="K64" t="str">
        <f>VLOOKUP(A64,[1]Sheet4!A:B,2,FALSE)</f>
        <v>terminated_date</v>
      </c>
      <c r="L64" t="str">
        <f>VLOOKUP(K64,[3]Combined_Columns!$A:$B,2,FALSE)</f>
        <v>employee_employment</v>
      </c>
      <c r="M64" t="str">
        <f>VLOOKUP(K64,[3]Combined_Columns!$A:$E,5,FALSE)</f>
        <v>date</v>
      </c>
      <c r="N64" t="b">
        <f t="shared" si="0"/>
        <v>0</v>
      </c>
      <c r="O64" t="s">
        <v>278</v>
      </c>
      <c r="P64" s="10" t="s">
        <v>129</v>
      </c>
      <c r="Q64" s="10" t="s">
        <v>130</v>
      </c>
      <c r="R64" s="10" t="s">
        <v>328</v>
      </c>
      <c r="S64" t="str">
        <f>VLOOKUP(Q64,[2]Sheet2!$D:$E,2,FALSE)</f>
        <v>Y</v>
      </c>
      <c r="T64">
        <f>VLOOKUP(Q64,[2]Sheet2!$D:$F,3,FALSE)</f>
        <v>0</v>
      </c>
      <c r="U64" t="str">
        <f>VLOOKUP(Q64,[2]Sheet2!$D:$G,4,FALSE)</f>
        <v>Y</v>
      </c>
    </row>
    <row r="65" spans="1:21" x14ac:dyDescent="0.3">
      <c r="A65" s="10" t="s">
        <v>131</v>
      </c>
      <c r="B65" s="10" t="s">
        <v>301</v>
      </c>
      <c r="C65" s="10" t="s">
        <v>291</v>
      </c>
      <c r="D65" s="10" t="s">
        <v>301</v>
      </c>
      <c r="E65" s="10" t="s">
        <v>291</v>
      </c>
      <c r="F65" s="10" t="s">
        <v>292</v>
      </c>
      <c r="G65" s="10" t="s">
        <v>336</v>
      </c>
      <c r="H65" s="11" t="s">
        <v>308</v>
      </c>
      <c r="I65" s="10" t="s">
        <v>301</v>
      </c>
      <c r="J65" s="10" t="s">
        <v>201</v>
      </c>
      <c r="K65" t="str">
        <f>VLOOKUP(A65,[1]Sheet4!A:B,2,FALSE)</f>
        <v>terminated_type</v>
      </c>
      <c r="L65" t="str">
        <f>VLOOKUP(K65,[3]Combined_Columns!$A:$B,2,FALSE)</f>
        <v>employee_employment</v>
      </c>
      <c r="M65" t="str">
        <f>VLOOKUP(K65,[3]Combined_Columns!$A:$E,5,FALSE)</f>
        <v>varchar</v>
      </c>
      <c r="N65" t="b">
        <f t="shared" si="0"/>
        <v>0</v>
      </c>
      <c r="O65" t="s">
        <v>278</v>
      </c>
      <c r="P65" s="10" t="s">
        <v>131</v>
      </c>
      <c r="Q65" s="10" t="s">
        <v>132</v>
      </c>
      <c r="R65" s="10" t="s">
        <v>328</v>
      </c>
      <c r="S65" t="str">
        <f>VLOOKUP(Q65,[2]Sheet2!$D:$E,2,FALSE)</f>
        <v>Y</v>
      </c>
      <c r="T65">
        <f>VLOOKUP(Q65,[2]Sheet2!$D:$F,3,FALSE)</f>
        <v>0</v>
      </c>
      <c r="U65">
        <f>VLOOKUP(Q65,[2]Sheet2!$D:$G,4,FALSE)</f>
        <v>0</v>
      </c>
    </row>
    <row r="66" spans="1:21" x14ac:dyDescent="0.3">
      <c r="A66" s="10" t="s">
        <v>133</v>
      </c>
      <c r="B66" s="10" t="s">
        <v>301</v>
      </c>
      <c r="C66" s="10" t="s">
        <v>291</v>
      </c>
      <c r="D66" s="10" t="s">
        <v>301</v>
      </c>
      <c r="E66" s="10" t="s">
        <v>291</v>
      </c>
      <c r="F66" s="10" t="s">
        <v>292</v>
      </c>
      <c r="G66" s="10" t="s">
        <v>336</v>
      </c>
      <c r="H66" s="11" t="s">
        <v>321</v>
      </c>
      <c r="I66" s="10" t="s">
        <v>301</v>
      </c>
      <c r="J66" s="10" t="s">
        <v>201</v>
      </c>
      <c r="K66" t="str">
        <f>VLOOKUP(A66,[1]Sheet4!A:B,2,FALSE)</f>
        <v>terminated_reason</v>
      </c>
      <c r="L66" t="str">
        <f>VLOOKUP(K66,[3]Combined_Columns!$A:$B,2,FALSE)</f>
        <v>employee_employment</v>
      </c>
      <c r="M66" t="str">
        <f>VLOOKUP(K66,[3]Combined_Columns!$A:$E,5,FALSE)</f>
        <v>varchar</v>
      </c>
      <c r="N66" t="b">
        <f t="shared" si="0"/>
        <v>0</v>
      </c>
      <c r="O66" t="s">
        <v>278</v>
      </c>
      <c r="P66" s="10" t="s">
        <v>133</v>
      </c>
      <c r="Q66" s="10" t="s">
        <v>134</v>
      </c>
      <c r="R66" s="10" t="s">
        <v>328</v>
      </c>
      <c r="S66" t="str">
        <f>VLOOKUP(Q66,[2]Sheet2!$D:$E,2,FALSE)</f>
        <v>Y</v>
      </c>
      <c r="T66">
        <f>VLOOKUP(Q66,[2]Sheet2!$D:$F,3,FALSE)</f>
        <v>0</v>
      </c>
      <c r="U66">
        <f>VLOOKUP(Q66,[2]Sheet2!$D:$G,4,FALSE)</f>
        <v>0</v>
      </c>
    </row>
    <row r="67" spans="1:21" x14ac:dyDescent="0.3">
      <c r="A67" s="10" t="s">
        <v>135</v>
      </c>
      <c r="B67" s="10" t="s">
        <v>301</v>
      </c>
      <c r="C67" s="10" t="s">
        <v>291</v>
      </c>
      <c r="D67" s="10" t="s">
        <v>301</v>
      </c>
      <c r="E67" s="10" t="s">
        <v>301</v>
      </c>
      <c r="F67" s="10" t="s">
        <v>302</v>
      </c>
      <c r="G67" s="10" t="s">
        <v>336</v>
      </c>
      <c r="H67" s="11" t="s">
        <v>294</v>
      </c>
      <c r="I67" s="10" t="s">
        <v>303</v>
      </c>
      <c r="J67" s="10" t="s">
        <v>201</v>
      </c>
      <c r="K67" t="str">
        <f>VLOOKUP(A67,[1]Sheet4!A:B,2,FALSE)</f>
        <v>blacklist_mti</v>
      </c>
      <c r="L67" t="str">
        <f>VLOOKUP(K67,[3]Combined_Columns!$A:$B,2,FALSE)</f>
        <v>employee_employment</v>
      </c>
      <c r="M67" t="str">
        <f>VLOOKUP(K67,[3]Combined_Columns!$A:$E,5,FALSE)</f>
        <v>varchar</v>
      </c>
      <c r="N67" t="b">
        <f t="shared" ref="N67:N79" si="1">ISERROR(SEARCH(M67, H67))</f>
        <v>1</v>
      </c>
      <c r="O67" t="s">
        <v>278</v>
      </c>
      <c r="P67" s="10" t="s">
        <v>135</v>
      </c>
      <c r="Q67" s="10" t="s">
        <v>136</v>
      </c>
      <c r="R67" s="10" t="s">
        <v>328</v>
      </c>
      <c r="S67" t="str">
        <f>VLOOKUP(Q67,[2]Sheet2!$D:$E,2,FALSE)</f>
        <v>Y</v>
      </c>
      <c r="T67">
        <f>VLOOKUP(Q67,[2]Sheet2!$D:$F,3,FALSE)</f>
        <v>0</v>
      </c>
      <c r="U67">
        <f>VLOOKUP(Q67,[2]Sheet2!$D:$G,4,FALSE)</f>
        <v>0</v>
      </c>
    </row>
    <row r="68" spans="1:21" x14ac:dyDescent="0.3">
      <c r="A68" s="10" t="s">
        <v>137</v>
      </c>
      <c r="B68" s="10" t="s">
        <v>301</v>
      </c>
      <c r="C68" s="10" t="s">
        <v>291</v>
      </c>
      <c r="D68" s="10" t="s">
        <v>301</v>
      </c>
      <c r="E68" s="10" t="s">
        <v>301</v>
      </c>
      <c r="F68" s="10" t="s">
        <v>302</v>
      </c>
      <c r="G68" s="10" t="s">
        <v>336</v>
      </c>
      <c r="H68" s="11" t="s">
        <v>294</v>
      </c>
      <c r="I68" s="10" t="s">
        <v>303</v>
      </c>
      <c r="J68" s="10" t="s">
        <v>201</v>
      </c>
      <c r="K68" t="str">
        <f>VLOOKUP(A68,[1]Sheet4!A:B,2,FALSE)</f>
        <v>blacklist_imip</v>
      </c>
      <c r="L68" t="str">
        <f>VLOOKUP(K68,[3]Combined_Columns!$A:$B,2,FALSE)</f>
        <v>employee_employment</v>
      </c>
      <c r="M68" t="str">
        <f>VLOOKUP(K68,[3]Combined_Columns!$A:$E,5,FALSE)</f>
        <v>varchar</v>
      </c>
      <c r="N68" t="b">
        <f t="shared" si="1"/>
        <v>1</v>
      </c>
      <c r="O68" t="s">
        <v>278</v>
      </c>
      <c r="P68" s="10" t="s">
        <v>137</v>
      </c>
      <c r="Q68" s="10" t="s">
        <v>138</v>
      </c>
      <c r="R68" s="10" t="s">
        <v>328</v>
      </c>
      <c r="S68" t="str">
        <f>VLOOKUP(Q68,[2]Sheet2!$D:$E,2,FALSE)</f>
        <v>Y</v>
      </c>
      <c r="T68">
        <f>VLOOKUP(Q68,[2]Sheet2!$D:$F,3,FALSE)</f>
        <v>0</v>
      </c>
      <c r="U68">
        <f>VLOOKUP(Q68,[2]Sheet2!$D:$G,4,FALSE)</f>
        <v>0</v>
      </c>
    </row>
    <row r="69" spans="1:21" x14ac:dyDescent="0.3">
      <c r="A69" s="10" t="s">
        <v>139</v>
      </c>
      <c r="B69" s="10" t="s">
        <v>291</v>
      </c>
      <c r="C69" s="10" t="s">
        <v>301</v>
      </c>
      <c r="D69" s="10" t="s">
        <v>301</v>
      </c>
      <c r="E69" s="10" t="s">
        <v>301</v>
      </c>
      <c r="F69" s="10" t="s">
        <v>302</v>
      </c>
      <c r="G69" s="10" t="s">
        <v>335</v>
      </c>
      <c r="H69" s="11" t="s">
        <v>338</v>
      </c>
      <c r="I69" s="10" t="s">
        <v>303</v>
      </c>
      <c r="J69" s="10" t="s">
        <v>201</v>
      </c>
      <c r="K69">
        <v>0</v>
      </c>
      <c r="M69" t="e">
        <f>VLOOKUP(K69,[3]Combined_Columns!$A:$E,5,FALSE)</f>
        <v>#N/A</v>
      </c>
      <c r="O69" t="s">
        <v>201</v>
      </c>
      <c r="P69" s="10" t="s">
        <v>139</v>
      </c>
      <c r="Q69" s="10" t="s">
        <v>140</v>
      </c>
      <c r="R69" s="10" t="s">
        <v>304</v>
      </c>
      <c r="S69" t="e">
        <f>VLOOKUP(Q69,[2]Sheet2!$D:$E,2,FALSE)</f>
        <v>#N/A</v>
      </c>
      <c r="T69" t="e">
        <f>VLOOKUP(Q69,[2]Sheet2!$D:$F,3,FALSE)</f>
        <v>#N/A</v>
      </c>
      <c r="U69" t="e">
        <f>VLOOKUP(Q69,[2]Sheet2!$D:$G,4,FALSE)</f>
        <v>#N/A</v>
      </c>
    </row>
    <row r="70" spans="1:21" x14ac:dyDescent="0.3">
      <c r="A70" s="10" t="s">
        <v>204</v>
      </c>
      <c r="B70" s="10" t="s">
        <v>291</v>
      </c>
      <c r="C70" s="10" t="s">
        <v>301</v>
      </c>
      <c r="D70" s="10" t="s">
        <v>301</v>
      </c>
      <c r="E70" s="10" t="s">
        <v>301</v>
      </c>
      <c r="F70" s="10" t="s">
        <v>302</v>
      </c>
      <c r="G70" s="10" t="s">
        <v>335</v>
      </c>
      <c r="H70" s="11" t="s">
        <v>298</v>
      </c>
      <c r="I70" s="10" t="s">
        <v>303</v>
      </c>
      <c r="J70" s="10" t="s">
        <v>201</v>
      </c>
      <c r="K70" t="str">
        <f>VLOOKUP(A70,[1]Sheet4!A:B,2,FALSE)</f>
        <v>locality_status</v>
      </c>
      <c r="M70" t="e">
        <f>VLOOKUP(K70,[3]Combined_Columns!$A:$E,5,FALSE)</f>
        <v>#N/A</v>
      </c>
      <c r="N70" t="b">
        <f t="shared" si="1"/>
        <v>1</v>
      </c>
      <c r="O70" t="s">
        <v>278</v>
      </c>
      <c r="P70" s="10" t="s">
        <v>204</v>
      </c>
      <c r="Q70" s="10" t="s">
        <v>339</v>
      </c>
      <c r="R70" s="10" t="s">
        <v>328</v>
      </c>
      <c r="S70" t="e">
        <f>VLOOKUP(Q70,[2]Sheet2!$D:$E,2,FALSE)</f>
        <v>#N/A</v>
      </c>
      <c r="T70" t="e">
        <f>VLOOKUP(Q70,[2]Sheet2!$D:$F,3,FALSE)</f>
        <v>#N/A</v>
      </c>
      <c r="U70" t="e">
        <f>VLOOKUP(Q70,[2]Sheet2!$D:$G,4,FALSE)</f>
        <v>#N/A</v>
      </c>
    </row>
    <row r="71" spans="1:21" x14ac:dyDescent="0.3">
      <c r="A71" s="10" t="s">
        <v>142</v>
      </c>
      <c r="B71" s="10" t="s">
        <v>291</v>
      </c>
      <c r="C71" s="10" t="s">
        <v>301</v>
      </c>
      <c r="D71" s="10" t="s">
        <v>301</v>
      </c>
      <c r="E71" s="10" t="s">
        <v>301</v>
      </c>
      <c r="F71" s="10" t="s">
        <v>302</v>
      </c>
      <c r="G71" s="10" t="s">
        <v>335</v>
      </c>
      <c r="H71" s="11" t="s">
        <v>315</v>
      </c>
      <c r="I71" s="10" t="s">
        <v>303</v>
      </c>
      <c r="J71" s="10" t="s">
        <v>201</v>
      </c>
      <c r="K71">
        <f>VLOOKUP(A71,[1]Sheet4!A:B,2,FALSE)</f>
        <v>0</v>
      </c>
      <c r="M71" t="e">
        <f>VLOOKUP(K71,[3]Combined_Columns!$A:$E,5,FALSE)</f>
        <v>#N/A</v>
      </c>
      <c r="O71" t="s">
        <v>201</v>
      </c>
      <c r="P71" s="10" t="s">
        <v>142</v>
      </c>
      <c r="Q71" s="10" t="s">
        <v>143</v>
      </c>
      <c r="R71" s="10" t="s">
        <v>296</v>
      </c>
      <c r="S71" t="e">
        <f>VLOOKUP(Q71,[2]Sheet2!$D:$E,2,FALSE)</f>
        <v>#N/A</v>
      </c>
      <c r="T71" t="e">
        <f>VLOOKUP(Q71,[2]Sheet2!$D:$F,3,FALSE)</f>
        <v>#N/A</v>
      </c>
      <c r="U71" t="e">
        <f>VLOOKUP(Q71,[2]Sheet2!$D:$G,4,FALSE)</f>
        <v>#N/A</v>
      </c>
    </row>
    <row r="72" spans="1:21" x14ac:dyDescent="0.3">
      <c r="A72" s="10" t="s">
        <v>144</v>
      </c>
      <c r="B72" s="10" t="s">
        <v>291</v>
      </c>
      <c r="C72" s="10" t="s">
        <v>301</v>
      </c>
      <c r="D72" s="10" t="s">
        <v>301</v>
      </c>
      <c r="E72" s="10" t="s">
        <v>301</v>
      </c>
      <c r="F72" s="10" t="s">
        <v>302</v>
      </c>
      <c r="G72" s="10" t="s">
        <v>335</v>
      </c>
      <c r="H72" s="11" t="s">
        <v>315</v>
      </c>
      <c r="I72" s="10" t="s">
        <v>303</v>
      </c>
      <c r="J72" s="10" t="s">
        <v>201</v>
      </c>
      <c r="K72">
        <f>VLOOKUP(A72,[1]Sheet4!A:B,2,FALSE)</f>
        <v>0</v>
      </c>
      <c r="M72" t="e">
        <f>VLOOKUP(K72,[3]Combined_Columns!$A:$E,5,FALSE)</f>
        <v>#N/A</v>
      </c>
      <c r="O72" t="s">
        <v>201</v>
      </c>
      <c r="P72" s="10" t="s">
        <v>144</v>
      </c>
      <c r="Q72" s="10" t="s">
        <v>145</v>
      </c>
      <c r="R72" s="10" t="s">
        <v>296</v>
      </c>
      <c r="S72" t="e">
        <f>VLOOKUP(Q72,[2]Sheet2!$D:$E,2,FALSE)</f>
        <v>#N/A</v>
      </c>
      <c r="T72" t="e">
        <f>VLOOKUP(Q72,[2]Sheet2!$D:$F,3,FALSE)</f>
        <v>#N/A</v>
      </c>
      <c r="U72" t="e">
        <f>VLOOKUP(Q72,[2]Sheet2!$D:$G,4,FALSE)</f>
        <v>#N/A</v>
      </c>
    </row>
    <row r="73" spans="1:21" x14ac:dyDescent="0.3">
      <c r="A73" s="10" t="s">
        <v>146</v>
      </c>
      <c r="B73" s="10" t="s">
        <v>291</v>
      </c>
      <c r="C73" s="10" t="s">
        <v>301</v>
      </c>
      <c r="D73" s="10" t="s">
        <v>301</v>
      </c>
      <c r="E73" s="10" t="s">
        <v>301</v>
      </c>
      <c r="F73" s="10" t="s">
        <v>302</v>
      </c>
      <c r="G73" s="10" t="s">
        <v>335</v>
      </c>
      <c r="H73" s="11" t="s">
        <v>340</v>
      </c>
      <c r="I73" s="10" t="s">
        <v>341</v>
      </c>
      <c r="J73" s="10" t="s">
        <v>201</v>
      </c>
      <c r="K73">
        <f>VLOOKUP(A73,[1]Sheet4!A:B,2,FALSE)</f>
        <v>0</v>
      </c>
      <c r="M73" t="e">
        <f>VLOOKUP(K73,[3]Combined_Columns!$A:$E,5,FALSE)</f>
        <v>#N/A</v>
      </c>
      <c r="O73" t="s">
        <v>201</v>
      </c>
      <c r="P73" s="10" t="s">
        <v>146</v>
      </c>
      <c r="Q73" s="10" t="s">
        <v>147</v>
      </c>
      <c r="R73" s="10" t="s">
        <v>304</v>
      </c>
      <c r="S73" t="e">
        <f>VLOOKUP(Q73,[2]Sheet2!$D:$E,2,FALSE)</f>
        <v>#N/A</v>
      </c>
      <c r="T73" t="e">
        <f>VLOOKUP(Q73,[2]Sheet2!$D:$F,3,FALSE)</f>
        <v>#N/A</v>
      </c>
      <c r="U73" t="e">
        <f>VLOOKUP(Q73,[2]Sheet2!$D:$G,4,FALSE)</f>
        <v>#N/A</v>
      </c>
    </row>
    <row r="74" spans="1:21" x14ac:dyDescent="0.3">
      <c r="A74" s="10" t="s">
        <v>148</v>
      </c>
      <c r="B74" s="10" t="s">
        <v>301</v>
      </c>
      <c r="C74" s="10" t="s">
        <v>301</v>
      </c>
      <c r="D74" s="10" t="s">
        <v>291</v>
      </c>
      <c r="E74" s="10" t="s">
        <v>301</v>
      </c>
      <c r="F74" s="10" t="s">
        <v>326</v>
      </c>
      <c r="G74" s="10" t="s">
        <v>335</v>
      </c>
      <c r="H74" s="11" t="s">
        <v>294</v>
      </c>
      <c r="I74" s="10" t="s">
        <v>327</v>
      </c>
      <c r="J74" s="10" t="s">
        <v>201</v>
      </c>
      <c r="K74">
        <f>VLOOKUP(A74,[1]Sheet4!A:B,2,FALSE)</f>
        <v>0</v>
      </c>
      <c r="M74" t="e">
        <f>VLOOKUP(K74,[3]Combined_Columns!$A:$E,5,FALSE)</f>
        <v>#N/A</v>
      </c>
      <c r="O74" t="s">
        <v>201</v>
      </c>
      <c r="P74" s="10" t="s">
        <v>148</v>
      </c>
      <c r="Q74" s="10" t="s">
        <v>149</v>
      </c>
      <c r="R74" s="10" t="s">
        <v>304</v>
      </c>
      <c r="S74" t="e">
        <f>VLOOKUP(Q74,[2]Sheet2!$D:$E,2,FALSE)</f>
        <v>#N/A</v>
      </c>
      <c r="T74" t="e">
        <f>VLOOKUP(Q74,[2]Sheet2!$D:$F,3,FALSE)</f>
        <v>#N/A</v>
      </c>
      <c r="U74" t="e">
        <f>VLOOKUP(Q74,[2]Sheet2!$D:$G,4,FALSE)</f>
        <v>#N/A</v>
      </c>
    </row>
    <row r="75" spans="1:21" x14ac:dyDescent="0.3">
      <c r="A75" s="10" t="s">
        <v>150</v>
      </c>
      <c r="B75" s="10" t="s">
        <v>301</v>
      </c>
      <c r="C75" s="10" t="s">
        <v>301</v>
      </c>
      <c r="D75" s="10" t="s">
        <v>291</v>
      </c>
      <c r="E75" s="10" t="s">
        <v>301</v>
      </c>
      <c r="F75" s="10" t="s">
        <v>326</v>
      </c>
      <c r="G75" s="10" t="s">
        <v>335</v>
      </c>
      <c r="H75" s="11" t="s">
        <v>305</v>
      </c>
      <c r="I75" s="10" t="s">
        <v>327</v>
      </c>
      <c r="J75" s="10" t="s">
        <v>201</v>
      </c>
      <c r="K75">
        <f>VLOOKUP(A75,[1]Sheet4!A:B,2,FALSE)</f>
        <v>0</v>
      </c>
      <c r="M75" t="e">
        <f>VLOOKUP(K75,[3]Combined_Columns!$A:$E,5,FALSE)</f>
        <v>#N/A</v>
      </c>
      <c r="O75" t="s">
        <v>201</v>
      </c>
      <c r="P75" s="10" t="s">
        <v>150</v>
      </c>
      <c r="Q75" s="10" t="s">
        <v>151</v>
      </c>
      <c r="R75" s="10" t="s">
        <v>304</v>
      </c>
      <c r="S75" t="e">
        <f>VLOOKUP(Q75,[2]Sheet2!$D:$E,2,FALSE)</f>
        <v>#N/A</v>
      </c>
      <c r="T75" t="e">
        <f>VLOOKUP(Q75,[2]Sheet2!$D:$F,3,FALSE)</f>
        <v>#N/A</v>
      </c>
      <c r="U75" t="e">
        <f>VLOOKUP(Q75,[2]Sheet2!$D:$G,4,FALSE)</f>
        <v>#N/A</v>
      </c>
    </row>
    <row r="76" spans="1:21" x14ac:dyDescent="0.3">
      <c r="A76" s="10" t="s">
        <v>152</v>
      </c>
      <c r="B76" s="10" t="s">
        <v>301</v>
      </c>
      <c r="C76" s="10" t="s">
        <v>301</v>
      </c>
      <c r="D76" s="10" t="s">
        <v>291</v>
      </c>
      <c r="E76" s="10" t="s">
        <v>301</v>
      </c>
      <c r="F76" s="10" t="s">
        <v>326</v>
      </c>
      <c r="G76" s="10" t="s">
        <v>335</v>
      </c>
      <c r="H76" s="11" t="s">
        <v>298</v>
      </c>
      <c r="I76" s="10" t="s">
        <v>327</v>
      </c>
      <c r="J76" s="10" t="s">
        <v>201</v>
      </c>
      <c r="K76">
        <f>VLOOKUP(A76,[1]Sheet4!A:B,2,FALSE)</f>
        <v>0</v>
      </c>
      <c r="M76" t="e">
        <f>VLOOKUP(K76,[3]Combined_Columns!$A:$E,5,FALSE)</f>
        <v>#N/A</v>
      </c>
      <c r="O76" t="s">
        <v>201</v>
      </c>
      <c r="P76" s="10" t="s">
        <v>152</v>
      </c>
      <c r="Q76" s="10" t="s">
        <v>153</v>
      </c>
      <c r="R76" s="10" t="s">
        <v>331</v>
      </c>
      <c r="S76" t="e">
        <f>VLOOKUP(Q76,[2]Sheet2!$D:$E,2,FALSE)</f>
        <v>#N/A</v>
      </c>
      <c r="T76" t="e">
        <f>VLOOKUP(Q76,[2]Sheet2!$D:$F,3,FALSE)</f>
        <v>#N/A</v>
      </c>
      <c r="U76" t="e">
        <f>VLOOKUP(Q76,[2]Sheet2!$D:$G,4,FALSE)</f>
        <v>#N/A</v>
      </c>
    </row>
    <row r="77" spans="1:21" x14ac:dyDescent="0.3">
      <c r="A77" s="10" t="s">
        <v>154</v>
      </c>
      <c r="B77" s="10" t="s">
        <v>301</v>
      </c>
      <c r="C77" s="10" t="s">
        <v>301</v>
      </c>
      <c r="D77" s="10" t="s">
        <v>291</v>
      </c>
      <c r="E77" s="10" t="s">
        <v>301</v>
      </c>
      <c r="F77" s="10" t="s">
        <v>326</v>
      </c>
      <c r="G77" s="10" t="s">
        <v>335</v>
      </c>
      <c r="H77" s="11" t="s">
        <v>308</v>
      </c>
      <c r="I77" s="10" t="s">
        <v>327</v>
      </c>
      <c r="J77" s="10" t="s">
        <v>201</v>
      </c>
      <c r="K77">
        <f>VLOOKUP(A77,[1]Sheet4!A:B,2,FALSE)</f>
        <v>0</v>
      </c>
      <c r="M77" t="e">
        <f>VLOOKUP(K77,[3]Combined_Columns!$A:$E,5,FALSE)</f>
        <v>#N/A</v>
      </c>
      <c r="O77" t="s">
        <v>201</v>
      </c>
      <c r="P77" s="10" t="s">
        <v>154</v>
      </c>
      <c r="Q77" s="10" t="s">
        <v>155</v>
      </c>
      <c r="R77" s="10" t="s">
        <v>331</v>
      </c>
      <c r="S77" t="e">
        <f>VLOOKUP(Q77,[2]Sheet2!$D:$E,2,FALSE)</f>
        <v>#N/A</v>
      </c>
      <c r="T77" t="e">
        <f>VLOOKUP(Q77,[2]Sheet2!$D:$F,3,FALSE)</f>
        <v>#N/A</v>
      </c>
      <c r="U77" t="e">
        <f>VLOOKUP(Q77,[2]Sheet2!$D:$G,4,FALSE)</f>
        <v>#N/A</v>
      </c>
    </row>
    <row r="78" spans="1:21" x14ac:dyDescent="0.3">
      <c r="A78" s="10" t="s">
        <v>156</v>
      </c>
      <c r="B78" s="10" t="s">
        <v>301</v>
      </c>
      <c r="C78" s="10" t="s">
        <v>301</v>
      </c>
      <c r="D78" s="10" t="s">
        <v>291</v>
      </c>
      <c r="E78" s="10" t="s">
        <v>301</v>
      </c>
      <c r="F78" s="10" t="s">
        <v>326</v>
      </c>
      <c r="G78" s="10" t="s">
        <v>335</v>
      </c>
      <c r="H78" s="11" t="s">
        <v>305</v>
      </c>
      <c r="I78" s="10" t="s">
        <v>301</v>
      </c>
      <c r="J78" s="10" t="s">
        <v>201</v>
      </c>
      <c r="K78">
        <f>VLOOKUP(A78,[1]Sheet4!A:B,2,FALSE)</f>
        <v>0</v>
      </c>
      <c r="M78" t="e">
        <f>VLOOKUP(K78,[3]Combined_Columns!$A:$E,5,FALSE)</f>
        <v>#N/A</v>
      </c>
      <c r="O78" t="s">
        <v>201</v>
      </c>
      <c r="P78" s="10" t="s">
        <v>156</v>
      </c>
      <c r="Q78" s="10" t="s">
        <v>157</v>
      </c>
      <c r="R78" s="10" t="s">
        <v>334</v>
      </c>
      <c r="S78" t="e">
        <f>VLOOKUP(Q78,[2]Sheet2!$D:$E,2,FALSE)</f>
        <v>#N/A</v>
      </c>
      <c r="T78" t="e">
        <f>VLOOKUP(Q78,[2]Sheet2!$D:$F,3,FALSE)</f>
        <v>#N/A</v>
      </c>
      <c r="U78" t="e">
        <f>VLOOKUP(Q78,[2]Sheet2!$D:$G,4,FALSE)</f>
        <v>#N/A</v>
      </c>
    </row>
    <row r="79" spans="1:21" x14ac:dyDescent="0.3">
      <c r="A79" s="10" t="s">
        <v>158</v>
      </c>
      <c r="B79" s="10" t="s">
        <v>301</v>
      </c>
      <c r="C79" s="10" t="s">
        <v>301</v>
      </c>
      <c r="D79" s="10" t="s">
        <v>291</v>
      </c>
      <c r="E79" s="10" t="s">
        <v>301</v>
      </c>
      <c r="F79" s="10" t="s">
        <v>326</v>
      </c>
      <c r="G79" s="10" t="s">
        <v>335</v>
      </c>
      <c r="H79" s="11" t="s">
        <v>338</v>
      </c>
      <c r="I79" s="10" t="s">
        <v>326</v>
      </c>
      <c r="J79" s="12" t="s">
        <v>201</v>
      </c>
      <c r="K79" t="s">
        <v>159</v>
      </c>
      <c r="L79" t="str">
        <f>VLOOKUP(K79,[3]Combined_Columns!$A:$B,2,FALSE)</f>
        <v>employee_contact</v>
      </c>
      <c r="M79" t="str">
        <f>VLOOKUP(K79,[3]Combined_Columns!$A:$E,5,FALSE)</f>
        <v>varchar</v>
      </c>
      <c r="N79" t="b">
        <f t="shared" si="1"/>
        <v>0</v>
      </c>
      <c r="O79" t="s">
        <v>278</v>
      </c>
      <c r="P79" s="10" t="s">
        <v>158</v>
      </c>
      <c r="Q79" s="10" t="s">
        <v>159</v>
      </c>
      <c r="R79" s="10" t="s">
        <v>314</v>
      </c>
      <c r="S79" t="str">
        <f>VLOOKUP(Q79,[2]Sheet2!$D:$E,2,FALSE)</f>
        <v>Public</v>
      </c>
      <c r="T79" t="str">
        <f>VLOOKUP(Q79,[2]Sheet2!$D:$F,3,FALSE)</f>
        <v>Public</v>
      </c>
      <c r="U79" t="str">
        <f>VLOOKUP(Q79,[2]Sheet2!$D:$G,4,FALSE)</f>
        <v>Public</v>
      </c>
    </row>
    <row r="80" spans="1:21" x14ac:dyDescent="0.3">
      <c r="A80" s="10" t="s">
        <v>160</v>
      </c>
      <c r="B80" s="10" t="s">
        <v>301</v>
      </c>
      <c r="C80" s="10" t="s">
        <v>301</v>
      </c>
      <c r="D80" s="10" t="s">
        <v>291</v>
      </c>
      <c r="E80" s="10" t="s">
        <v>301</v>
      </c>
      <c r="F80" s="10" t="s">
        <v>326</v>
      </c>
      <c r="G80" s="10" t="s">
        <v>335</v>
      </c>
      <c r="H80" s="11" t="s">
        <v>309</v>
      </c>
      <c r="I80" s="10" t="s">
        <v>301</v>
      </c>
      <c r="J80" s="12" t="s">
        <v>201</v>
      </c>
      <c r="K80">
        <f>VLOOKUP(A80,[1]Sheet4!A:B,2,FALSE)</f>
        <v>0</v>
      </c>
      <c r="M80" t="e">
        <f>VLOOKUP(K80,[3]Combined_Columns!$A:$E,5,FALSE)</f>
        <v>#N/A</v>
      </c>
      <c r="O80" t="s">
        <v>201</v>
      </c>
      <c r="P80" s="10" t="s">
        <v>160</v>
      </c>
      <c r="Q80" s="10" t="s">
        <v>161</v>
      </c>
      <c r="R80" s="10" t="s">
        <v>334</v>
      </c>
      <c r="S80" t="e">
        <f>VLOOKUP(Q80,[2]Sheet2!$D:$E,2,FALSE)</f>
        <v>#N/A</v>
      </c>
      <c r="T80" t="e">
        <f>VLOOKUP(Q80,[2]Sheet2!$D:$F,3,FALSE)</f>
        <v>#N/A</v>
      </c>
      <c r="U80" t="e">
        <f>VLOOKUP(Q80,[2]Sheet2!$D:$G,4,FALSE)</f>
        <v>#N/A</v>
      </c>
    </row>
    <row r="81" spans="1:21" x14ac:dyDescent="0.3">
      <c r="A81" s="10" t="s">
        <v>162</v>
      </c>
      <c r="B81" s="10" t="s">
        <v>301</v>
      </c>
      <c r="C81" s="10" t="s">
        <v>301</v>
      </c>
      <c r="D81" s="10" t="s">
        <v>291</v>
      </c>
      <c r="E81" s="10" t="s">
        <v>301</v>
      </c>
      <c r="F81" s="10" t="s">
        <v>326</v>
      </c>
      <c r="G81" s="10" t="s">
        <v>335</v>
      </c>
      <c r="H81" s="11" t="s">
        <v>309</v>
      </c>
      <c r="I81" s="10" t="s">
        <v>301</v>
      </c>
      <c r="J81" s="12" t="s">
        <v>201</v>
      </c>
      <c r="K81">
        <f>VLOOKUP(A81,[1]Sheet4!A:B,2,FALSE)</f>
        <v>0</v>
      </c>
      <c r="M81" t="e">
        <f>VLOOKUP(K81,[3]Combined_Columns!$A:$E,5,FALSE)</f>
        <v>#N/A</v>
      </c>
      <c r="O81" t="s">
        <v>201</v>
      </c>
      <c r="P81" s="10" t="s">
        <v>162</v>
      </c>
      <c r="Q81" s="10" t="s">
        <v>163</v>
      </c>
      <c r="R81" s="10" t="s">
        <v>334</v>
      </c>
      <c r="S81" t="e">
        <f>VLOOKUP(Q81,[2]Sheet2!$D:$E,2,FALSE)</f>
        <v>#N/A</v>
      </c>
      <c r="T81" t="e">
        <f>VLOOKUP(Q81,[2]Sheet2!$D:$F,3,FALSE)</f>
        <v>#N/A</v>
      </c>
      <c r="U81" t="e">
        <f>VLOOKUP(Q81,[2]Sheet2!$D:$G,4,FALSE)</f>
        <v>#N/A</v>
      </c>
    </row>
    <row r="82" spans="1:21" x14ac:dyDescent="0.3">
      <c r="A82" s="10" t="s">
        <v>164</v>
      </c>
      <c r="B82" s="10" t="s">
        <v>301</v>
      </c>
      <c r="C82" s="10" t="s">
        <v>301</v>
      </c>
      <c r="D82" s="10" t="s">
        <v>291</v>
      </c>
      <c r="E82" s="10" t="s">
        <v>301</v>
      </c>
      <c r="F82" s="10" t="s">
        <v>326</v>
      </c>
      <c r="G82" s="10" t="s">
        <v>335</v>
      </c>
      <c r="H82" s="11" t="s">
        <v>308</v>
      </c>
      <c r="I82" s="10" t="s">
        <v>301</v>
      </c>
      <c r="J82" s="12" t="s">
        <v>201</v>
      </c>
      <c r="K82">
        <f>VLOOKUP(A82,[1]Sheet4!A:B,2,FALSE)</f>
        <v>0</v>
      </c>
      <c r="M82" t="e">
        <f>VLOOKUP(K82,[3]Combined_Columns!$A:$E,5,FALSE)</f>
        <v>#N/A</v>
      </c>
      <c r="O82" t="s">
        <v>201</v>
      </c>
      <c r="P82" s="10" t="s">
        <v>164</v>
      </c>
      <c r="Q82" s="10" t="s">
        <v>165</v>
      </c>
      <c r="R82" s="10" t="s">
        <v>334</v>
      </c>
      <c r="S82" t="e">
        <f>VLOOKUP(Q82,[2]Sheet2!$D:$E,2,FALSE)</f>
        <v>#N/A</v>
      </c>
      <c r="T82" t="e">
        <f>VLOOKUP(Q82,[2]Sheet2!$D:$F,3,FALSE)</f>
        <v>#N/A</v>
      </c>
      <c r="U82" t="e">
        <f>VLOOKUP(Q82,[2]Sheet2!$D:$G,4,FALSE)</f>
        <v>#N/A</v>
      </c>
    </row>
    <row r="83" spans="1:21" x14ac:dyDescent="0.3">
      <c r="A83" s="10" t="s">
        <v>166</v>
      </c>
      <c r="B83" s="10" t="s">
        <v>301</v>
      </c>
      <c r="C83" s="10" t="s">
        <v>301</v>
      </c>
      <c r="D83" s="10" t="s">
        <v>291</v>
      </c>
      <c r="E83" s="10" t="s">
        <v>301</v>
      </c>
      <c r="F83" s="10" t="s">
        <v>326</v>
      </c>
      <c r="G83" s="10" t="s">
        <v>335</v>
      </c>
      <c r="H83" s="11" t="s">
        <v>308</v>
      </c>
      <c r="I83" s="10" t="s">
        <v>301</v>
      </c>
      <c r="J83" s="12" t="s">
        <v>201</v>
      </c>
      <c r="K83">
        <f>VLOOKUP(A83,[1]Sheet4!A:B,2,FALSE)</f>
        <v>0</v>
      </c>
      <c r="M83" t="e">
        <f>VLOOKUP(K83,[3]Combined_Columns!$A:$E,5,FALSE)</f>
        <v>#N/A</v>
      </c>
      <c r="O83" t="s">
        <v>201</v>
      </c>
      <c r="P83" s="10" t="s">
        <v>166</v>
      </c>
      <c r="Q83" s="10" t="s">
        <v>167</v>
      </c>
      <c r="R83" s="10" t="s">
        <v>334</v>
      </c>
      <c r="S83" t="e">
        <f>VLOOKUP(Q83,[2]Sheet2!$D:$E,2,FALSE)</f>
        <v>#N/A</v>
      </c>
      <c r="T83" t="e">
        <f>VLOOKUP(Q83,[2]Sheet2!$D:$F,3,FALSE)</f>
        <v>#N/A</v>
      </c>
      <c r="U83" t="e">
        <f>VLOOKUP(Q83,[2]Sheet2!$D:$G,4,FALSE)</f>
        <v>#N/A</v>
      </c>
    </row>
    <row r="84" spans="1:21" x14ac:dyDescent="0.3">
      <c r="A84" s="10" t="s">
        <v>168</v>
      </c>
      <c r="B84" s="10" t="s">
        <v>301</v>
      </c>
      <c r="C84" s="10" t="s">
        <v>301</v>
      </c>
      <c r="D84" s="10" t="s">
        <v>291</v>
      </c>
      <c r="E84" s="10" t="s">
        <v>301</v>
      </c>
      <c r="F84" s="10" t="s">
        <v>326</v>
      </c>
      <c r="G84" s="10" t="s">
        <v>335</v>
      </c>
      <c r="H84" s="11" t="s">
        <v>305</v>
      </c>
      <c r="I84" s="10" t="s">
        <v>301</v>
      </c>
      <c r="J84" s="12" t="s">
        <v>201</v>
      </c>
      <c r="K84">
        <f>VLOOKUP(A84,[1]Sheet4!A:B,2,FALSE)</f>
        <v>0</v>
      </c>
      <c r="M84" t="e">
        <f>VLOOKUP(K84,[3]Combined_Columns!$A:$E,5,FALSE)</f>
        <v>#N/A</v>
      </c>
      <c r="O84" t="s">
        <v>201</v>
      </c>
      <c r="P84" s="10" t="s">
        <v>168</v>
      </c>
      <c r="Q84" s="10" t="s">
        <v>169</v>
      </c>
      <c r="R84" s="10" t="s">
        <v>334</v>
      </c>
      <c r="S84" t="e">
        <f>VLOOKUP(Q84,[2]Sheet2!$D:$E,2,FALSE)</f>
        <v>#N/A</v>
      </c>
      <c r="T84" t="e">
        <f>VLOOKUP(Q84,[2]Sheet2!$D:$F,3,FALSE)</f>
        <v>#N/A</v>
      </c>
      <c r="U84" t="e">
        <f>VLOOKUP(Q84,[2]Sheet2!$D:$G,4,FALSE)</f>
        <v>#N/A</v>
      </c>
    </row>
    <row r="85" spans="1:21" x14ac:dyDescent="0.3">
      <c r="A85" s="10" t="s">
        <v>170</v>
      </c>
      <c r="B85" s="10" t="s">
        <v>301</v>
      </c>
      <c r="C85" s="10" t="s">
        <v>301</v>
      </c>
      <c r="D85" s="10" t="s">
        <v>291</v>
      </c>
      <c r="E85" s="10" t="s">
        <v>301</v>
      </c>
      <c r="F85" s="10" t="s">
        <v>326</v>
      </c>
      <c r="G85" s="10" t="s">
        <v>335</v>
      </c>
      <c r="H85" s="11" t="s">
        <v>321</v>
      </c>
      <c r="I85" s="10" t="s">
        <v>301</v>
      </c>
      <c r="J85" s="12" t="s">
        <v>201</v>
      </c>
      <c r="K85">
        <f>VLOOKUP(A85,[1]Sheet4!A:B,2,FALSE)</f>
        <v>0</v>
      </c>
      <c r="M85" t="e">
        <f>VLOOKUP(K85,[3]Combined_Columns!$A:$E,5,FALSE)</f>
        <v>#N/A</v>
      </c>
      <c r="O85" t="s">
        <v>201</v>
      </c>
      <c r="P85" s="10" t="s">
        <v>170</v>
      </c>
      <c r="Q85" s="10" t="s">
        <v>171</v>
      </c>
      <c r="R85" s="10" t="s">
        <v>334</v>
      </c>
      <c r="S85" t="e">
        <f>VLOOKUP(Q85,[2]Sheet2!$D:$E,2,FALSE)</f>
        <v>#N/A</v>
      </c>
      <c r="T85" t="e">
        <f>VLOOKUP(Q85,[2]Sheet2!$D:$F,3,FALSE)</f>
        <v>#N/A</v>
      </c>
      <c r="U85" t="e">
        <f>VLOOKUP(Q85,[2]Sheet2!$D:$G,4,FALSE)</f>
        <v>#N/A</v>
      </c>
    </row>
    <row r="86" spans="1:21" x14ac:dyDescent="0.3">
      <c r="A86" s="10" t="s">
        <v>172</v>
      </c>
      <c r="B86" s="10" t="s">
        <v>301</v>
      </c>
      <c r="C86" s="10" t="s">
        <v>301</v>
      </c>
      <c r="D86" s="10" t="s">
        <v>291</v>
      </c>
      <c r="E86" s="10" t="s">
        <v>301</v>
      </c>
      <c r="F86" s="10" t="s">
        <v>326</v>
      </c>
      <c r="G86" s="10" t="s">
        <v>335</v>
      </c>
      <c r="H86" s="11" t="s">
        <v>305</v>
      </c>
      <c r="I86" s="10" t="s">
        <v>301</v>
      </c>
      <c r="J86" s="12" t="s">
        <v>201</v>
      </c>
      <c r="K86">
        <f>VLOOKUP(A86,[1]Sheet4!A:B,2,FALSE)</f>
        <v>0</v>
      </c>
      <c r="M86" t="e">
        <f>VLOOKUP(K86,[3]Combined_Columns!$A:$E,5,FALSE)</f>
        <v>#N/A</v>
      </c>
      <c r="O86" t="s">
        <v>201</v>
      </c>
      <c r="P86" s="10" t="s">
        <v>172</v>
      </c>
      <c r="Q86" s="10" t="s">
        <v>173</v>
      </c>
      <c r="R86" s="10" t="s">
        <v>334</v>
      </c>
      <c r="S86" t="e">
        <f>VLOOKUP(Q86,[2]Sheet2!$D:$E,2,FALSE)</f>
        <v>#N/A</v>
      </c>
      <c r="T86" t="e">
        <f>VLOOKUP(Q86,[2]Sheet2!$D:$F,3,FALSE)</f>
        <v>#N/A</v>
      </c>
      <c r="U86" t="e">
        <f>VLOOKUP(Q86,[2]Sheet2!$D:$G,4,FALSE)</f>
        <v>#N/A</v>
      </c>
    </row>
    <row r="87" spans="1:21" x14ac:dyDescent="0.3">
      <c r="A87" s="10" t="s">
        <v>174</v>
      </c>
      <c r="B87" s="10" t="s">
        <v>301</v>
      </c>
      <c r="C87" s="10" t="s">
        <v>301</v>
      </c>
      <c r="D87" s="10" t="s">
        <v>291</v>
      </c>
      <c r="E87" s="10" t="s">
        <v>301</v>
      </c>
      <c r="F87" s="10" t="s">
        <v>326</v>
      </c>
      <c r="G87" s="10" t="s">
        <v>335</v>
      </c>
      <c r="H87" s="11" t="s">
        <v>308</v>
      </c>
      <c r="I87" s="10" t="s">
        <v>301</v>
      </c>
      <c r="J87" s="12" t="s">
        <v>201</v>
      </c>
      <c r="K87">
        <f>VLOOKUP(A87,[1]Sheet4!A:B,2,FALSE)</f>
        <v>0</v>
      </c>
      <c r="M87" t="e">
        <f>VLOOKUP(K87,[3]Combined_Columns!$A:$E,5,FALSE)</f>
        <v>#N/A</v>
      </c>
      <c r="O87" t="s">
        <v>201</v>
      </c>
      <c r="P87" s="10" t="s">
        <v>174</v>
      </c>
      <c r="Q87" s="10" t="s">
        <v>175</v>
      </c>
      <c r="R87" s="10" t="s">
        <v>331</v>
      </c>
      <c r="S87" t="e">
        <f>VLOOKUP(Q87,[2]Sheet2!$D:$E,2,FALSE)</f>
        <v>#N/A</v>
      </c>
      <c r="T87" t="e">
        <f>VLOOKUP(Q87,[2]Sheet2!$D:$F,3,FALSE)</f>
        <v>#N/A</v>
      </c>
      <c r="U87" t="e">
        <f>VLOOKUP(Q87,[2]Sheet2!$D:$G,4,FALSE)</f>
        <v>#N/A</v>
      </c>
    </row>
    <row r="88" spans="1:21" x14ac:dyDescent="0.3">
      <c r="A88" s="10" t="s">
        <v>176</v>
      </c>
      <c r="B88" s="10" t="s">
        <v>301</v>
      </c>
      <c r="C88" s="10" t="s">
        <v>301</v>
      </c>
      <c r="D88" s="10" t="s">
        <v>291</v>
      </c>
      <c r="E88" s="10" t="s">
        <v>301</v>
      </c>
      <c r="F88" s="10" t="s">
        <v>326</v>
      </c>
      <c r="G88" s="10" t="s">
        <v>335</v>
      </c>
      <c r="H88" s="11" t="s">
        <v>298</v>
      </c>
      <c r="I88" s="10" t="s">
        <v>342</v>
      </c>
      <c r="J88" s="12" t="s">
        <v>201</v>
      </c>
      <c r="K88">
        <f>VLOOKUP(A88,[1]Sheet4!A:B,2,FALSE)</f>
        <v>0</v>
      </c>
      <c r="M88" t="e">
        <f>VLOOKUP(K88,[3]Combined_Columns!$A:$E,5,FALSE)</f>
        <v>#N/A</v>
      </c>
      <c r="O88" t="s">
        <v>201</v>
      </c>
      <c r="P88" s="10" t="s">
        <v>176</v>
      </c>
      <c r="Q88" s="10" t="s">
        <v>177</v>
      </c>
      <c r="R88" s="10" t="s">
        <v>343</v>
      </c>
      <c r="S88" t="e">
        <f>VLOOKUP(Q88,[2]Sheet2!$D:$E,2,FALSE)</f>
        <v>#N/A</v>
      </c>
      <c r="T88" t="e">
        <f>VLOOKUP(Q88,[2]Sheet2!$D:$F,3,FALSE)</f>
        <v>#N/A</v>
      </c>
      <c r="U88" t="e">
        <f>VLOOKUP(Q88,[2]Sheet2!$D:$G,4,FALSE)</f>
        <v>#N/A</v>
      </c>
    </row>
    <row r="89" spans="1:21" x14ac:dyDescent="0.3">
      <c r="A89" s="10" t="s">
        <v>178</v>
      </c>
      <c r="B89" s="10" t="s">
        <v>301</v>
      </c>
      <c r="C89" s="10" t="s">
        <v>301</v>
      </c>
      <c r="D89" s="10" t="s">
        <v>291</v>
      </c>
      <c r="E89" s="10" t="s">
        <v>301</v>
      </c>
      <c r="F89" s="10" t="s">
        <v>326</v>
      </c>
      <c r="G89" s="10" t="s">
        <v>335</v>
      </c>
      <c r="H89" s="11" t="s">
        <v>344</v>
      </c>
      <c r="I89" s="10" t="s">
        <v>345</v>
      </c>
      <c r="J89" s="12" t="s">
        <v>201</v>
      </c>
      <c r="K89">
        <f>VLOOKUP(A89,[1]Sheet4!A:B,2,FALSE)</f>
        <v>0</v>
      </c>
      <c r="M89" t="e">
        <f>VLOOKUP(K89,[3]Combined_Columns!$A:$E,5,FALSE)</f>
        <v>#N/A</v>
      </c>
      <c r="O89" t="s">
        <v>201</v>
      </c>
      <c r="P89" s="10" t="s">
        <v>178</v>
      </c>
      <c r="Q89" s="10" t="s">
        <v>179</v>
      </c>
      <c r="R89" s="10" t="s">
        <v>343</v>
      </c>
      <c r="S89" t="e">
        <f>VLOOKUP(Q89,[2]Sheet2!$D:$E,2,FALSE)</f>
        <v>#N/A</v>
      </c>
      <c r="T89" t="e">
        <f>VLOOKUP(Q89,[2]Sheet2!$D:$F,3,FALSE)</f>
        <v>#N/A</v>
      </c>
      <c r="U89" t="e">
        <f>VLOOKUP(Q89,[2]Sheet2!$D:$G,4,FALSE)</f>
        <v>#N/A</v>
      </c>
    </row>
    <row r="90" spans="1:21" x14ac:dyDescent="0.3">
      <c r="A90" s="10" t="s">
        <v>180</v>
      </c>
      <c r="B90" s="10" t="s">
        <v>301</v>
      </c>
      <c r="C90" s="10" t="s">
        <v>301</v>
      </c>
      <c r="D90" s="10" t="s">
        <v>291</v>
      </c>
      <c r="E90" s="10" t="s">
        <v>301</v>
      </c>
      <c r="F90" s="10" t="s">
        <v>326</v>
      </c>
      <c r="G90" s="10" t="s">
        <v>335</v>
      </c>
      <c r="H90" s="11" t="s">
        <v>294</v>
      </c>
      <c r="I90" s="10"/>
      <c r="J90" s="12" t="s">
        <v>201</v>
      </c>
      <c r="K90">
        <f>VLOOKUP(A90,[1]Sheet4!A:B,2,FALSE)</f>
        <v>0</v>
      </c>
      <c r="M90" t="e">
        <f>VLOOKUP(K90,[3]Combined_Columns!$A:$E,5,FALSE)</f>
        <v>#N/A</v>
      </c>
      <c r="O90" t="s">
        <v>201</v>
      </c>
      <c r="P90" s="10" t="s">
        <v>180</v>
      </c>
      <c r="Q90" s="10" t="s">
        <v>181</v>
      </c>
      <c r="R90" s="10" t="s">
        <v>346</v>
      </c>
      <c r="S90" t="e">
        <f>VLOOKUP(Q90,[2]Sheet2!$D:$E,2,FALSE)</f>
        <v>#N/A</v>
      </c>
      <c r="T90" t="e">
        <f>VLOOKUP(Q90,[2]Sheet2!$D:$F,3,FALSE)</f>
        <v>#N/A</v>
      </c>
      <c r="U90" t="e">
        <f>VLOOKUP(Q90,[2]Sheet2!$D:$G,4,FALSE)</f>
        <v>#N/A</v>
      </c>
    </row>
    <row r="91" spans="1:21" x14ac:dyDescent="0.3">
      <c r="A91" s="10" t="s">
        <v>182</v>
      </c>
      <c r="B91" s="10" t="s">
        <v>301</v>
      </c>
      <c r="C91" s="10" t="s">
        <v>301</v>
      </c>
      <c r="D91" s="10" t="s">
        <v>291</v>
      </c>
      <c r="E91" s="10" t="s">
        <v>301</v>
      </c>
      <c r="F91" s="10" t="s">
        <v>326</v>
      </c>
      <c r="G91" s="10" t="s">
        <v>335</v>
      </c>
      <c r="H91" s="11" t="s">
        <v>294</v>
      </c>
      <c r="I91" s="10"/>
      <c r="J91" s="12" t="s">
        <v>201</v>
      </c>
      <c r="K91">
        <f>VLOOKUP(A91,[1]Sheet4!A:B,2,FALSE)</f>
        <v>0</v>
      </c>
      <c r="M91" t="e">
        <f>VLOOKUP(K91,[3]Combined_Columns!$A:$E,5,FALSE)</f>
        <v>#N/A</v>
      </c>
      <c r="O91" t="s">
        <v>201</v>
      </c>
      <c r="P91" s="10" t="s">
        <v>182</v>
      </c>
      <c r="Q91" s="10" t="s">
        <v>183</v>
      </c>
      <c r="R91" s="10" t="s">
        <v>346</v>
      </c>
      <c r="S91" t="e">
        <f>VLOOKUP(Q91,[2]Sheet2!$D:$E,2,FALSE)</f>
        <v>#N/A</v>
      </c>
      <c r="T91" t="e">
        <f>VLOOKUP(Q91,[2]Sheet2!$D:$F,3,FALSE)</f>
        <v>#N/A</v>
      </c>
      <c r="U91" t="e">
        <f>VLOOKUP(Q91,[2]Sheet2!$D:$G,4,FALSE)</f>
        <v>#N/A</v>
      </c>
    </row>
    <row r="92" spans="1:21" x14ac:dyDescent="0.3">
      <c r="A92" s="10" t="s">
        <v>184</v>
      </c>
      <c r="B92" s="10" t="s">
        <v>301</v>
      </c>
      <c r="C92" s="10" t="s">
        <v>301</v>
      </c>
      <c r="D92" s="10" t="s">
        <v>291</v>
      </c>
      <c r="E92" s="10" t="s">
        <v>301</v>
      </c>
      <c r="F92" s="10" t="s">
        <v>326</v>
      </c>
      <c r="G92" s="10" t="s">
        <v>335</v>
      </c>
      <c r="H92" s="11" t="s">
        <v>294</v>
      </c>
      <c r="I92" s="10"/>
      <c r="J92" s="12" t="s">
        <v>201</v>
      </c>
      <c r="K92">
        <f>VLOOKUP(A92,[1]Sheet4!A:B,2,FALSE)</f>
        <v>0</v>
      </c>
      <c r="M92" t="e">
        <f>VLOOKUP(K92,[3]Combined_Columns!$A:$E,5,FALSE)</f>
        <v>#N/A</v>
      </c>
      <c r="O92" t="s">
        <v>201</v>
      </c>
      <c r="P92" s="10" t="s">
        <v>184</v>
      </c>
      <c r="Q92" s="10" t="s">
        <v>185</v>
      </c>
      <c r="R92" s="10" t="s">
        <v>346</v>
      </c>
      <c r="S92" t="e">
        <f>VLOOKUP(Q92,[2]Sheet2!$D:$E,2,FALSE)</f>
        <v>#N/A</v>
      </c>
      <c r="T92" t="e">
        <f>VLOOKUP(Q92,[2]Sheet2!$D:$F,3,FALSE)</f>
        <v>#N/A</v>
      </c>
      <c r="U92" t="e">
        <f>VLOOKUP(Q92,[2]Sheet2!$D:$G,4,FALSE)</f>
        <v>#N/A</v>
      </c>
    </row>
    <row r="93" spans="1:21" x14ac:dyDescent="0.3">
      <c r="A93" s="10" t="s">
        <v>186</v>
      </c>
      <c r="B93" s="10" t="s">
        <v>301</v>
      </c>
      <c r="C93" s="10" t="s">
        <v>301</v>
      </c>
      <c r="D93" s="10" t="s">
        <v>291</v>
      </c>
      <c r="E93" s="10" t="s">
        <v>301</v>
      </c>
      <c r="F93" s="10" t="s">
        <v>326</v>
      </c>
      <c r="G93" s="10" t="s">
        <v>335</v>
      </c>
      <c r="H93" s="11" t="s">
        <v>294</v>
      </c>
      <c r="I93" s="10"/>
      <c r="J93" s="12" t="s">
        <v>201</v>
      </c>
      <c r="K93">
        <f>VLOOKUP(A93,[1]Sheet4!A:B,2,FALSE)</f>
        <v>0</v>
      </c>
      <c r="M93" t="e">
        <f>VLOOKUP(K93,[3]Combined_Columns!$A:$E,5,FALSE)</f>
        <v>#N/A</v>
      </c>
      <c r="O93" t="s">
        <v>201</v>
      </c>
      <c r="P93" s="10" t="s">
        <v>186</v>
      </c>
      <c r="Q93" s="10" t="s">
        <v>187</v>
      </c>
      <c r="R93" s="10" t="s">
        <v>346</v>
      </c>
      <c r="S93" t="e">
        <f>VLOOKUP(Q93,[2]Sheet2!$D:$E,2,FALSE)</f>
        <v>#N/A</v>
      </c>
      <c r="T93" t="e">
        <f>VLOOKUP(Q93,[2]Sheet2!$D:$F,3,FALSE)</f>
        <v>#N/A</v>
      </c>
      <c r="U93" t="e">
        <f>VLOOKUP(Q93,[2]Sheet2!$D:$G,4,FALSE)</f>
        <v>#N/A</v>
      </c>
    </row>
    <row r="94" spans="1:21" x14ac:dyDescent="0.3">
      <c r="A94" s="10" t="s">
        <v>188</v>
      </c>
      <c r="B94" s="10" t="s">
        <v>301</v>
      </c>
      <c r="C94" s="10" t="s">
        <v>301</v>
      </c>
      <c r="D94" s="10" t="s">
        <v>291</v>
      </c>
      <c r="E94" s="10" t="s">
        <v>301</v>
      </c>
      <c r="F94" s="10" t="s">
        <v>326</v>
      </c>
      <c r="G94" s="10" t="s">
        <v>335</v>
      </c>
      <c r="H94" s="11" t="s">
        <v>294</v>
      </c>
      <c r="I94" s="10"/>
      <c r="J94" s="12" t="s">
        <v>201</v>
      </c>
      <c r="K94">
        <f>VLOOKUP(A94,[1]Sheet4!A:B,2,FALSE)</f>
        <v>0</v>
      </c>
      <c r="M94" t="e">
        <f>VLOOKUP(K94,[3]Combined_Columns!$A:$E,5,FALSE)</f>
        <v>#N/A</v>
      </c>
      <c r="O94" t="s">
        <v>201</v>
      </c>
      <c r="P94" s="10" t="s">
        <v>188</v>
      </c>
      <c r="Q94" s="10" t="s">
        <v>189</v>
      </c>
      <c r="R94" s="10" t="s">
        <v>346</v>
      </c>
      <c r="S94" t="e">
        <f>VLOOKUP(Q94,[2]Sheet2!$D:$E,2,FALSE)</f>
        <v>#N/A</v>
      </c>
      <c r="T94" t="e">
        <f>VLOOKUP(Q94,[2]Sheet2!$D:$F,3,FALSE)</f>
        <v>#N/A</v>
      </c>
      <c r="U94" t="e">
        <f>VLOOKUP(Q94,[2]Sheet2!$D:$G,4,FALSE)</f>
        <v>#N/A</v>
      </c>
    </row>
    <row r="95" spans="1:21" x14ac:dyDescent="0.3">
      <c r="A95" s="10" t="s">
        <v>190</v>
      </c>
      <c r="B95" s="10" t="s">
        <v>301</v>
      </c>
      <c r="C95" s="10" t="s">
        <v>301</v>
      </c>
      <c r="D95" s="10" t="s">
        <v>291</v>
      </c>
      <c r="E95" s="10" t="s">
        <v>301</v>
      </c>
      <c r="F95" s="10" t="s">
        <v>326</v>
      </c>
      <c r="G95" s="10" t="s">
        <v>335</v>
      </c>
      <c r="H95" s="11" t="s">
        <v>294</v>
      </c>
      <c r="I95" s="10"/>
      <c r="J95" s="12" t="s">
        <v>201</v>
      </c>
      <c r="K95">
        <f>VLOOKUP(A95,[1]Sheet4!A:B,2,FALSE)</f>
        <v>0</v>
      </c>
      <c r="M95" t="e">
        <f>VLOOKUP(K95,[3]Combined_Columns!$A:$E,5,FALSE)</f>
        <v>#N/A</v>
      </c>
      <c r="O95" t="s">
        <v>201</v>
      </c>
      <c r="P95" s="10" t="s">
        <v>190</v>
      </c>
      <c r="Q95" s="10" t="s">
        <v>191</v>
      </c>
      <c r="R95" s="10" t="s">
        <v>346</v>
      </c>
      <c r="S95" t="e">
        <f>VLOOKUP(Q95,[2]Sheet2!$D:$E,2,FALSE)</f>
        <v>#N/A</v>
      </c>
      <c r="T95" t="e">
        <f>VLOOKUP(Q95,[2]Sheet2!$D:$F,3,FALSE)</f>
        <v>#N/A</v>
      </c>
      <c r="U95" t="e">
        <f>VLOOKUP(Q95,[2]Sheet2!$D:$G,4,FALSE)</f>
        <v>#N/A</v>
      </c>
    </row>
    <row r="96" spans="1:21" x14ac:dyDescent="0.3">
      <c r="A96" s="10" t="s">
        <v>192</v>
      </c>
      <c r="B96" s="10" t="s">
        <v>301</v>
      </c>
      <c r="C96" s="10" t="s">
        <v>301</v>
      </c>
      <c r="D96" s="10" t="s">
        <v>291</v>
      </c>
      <c r="E96" s="10" t="s">
        <v>301</v>
      </c>
      <c r="F96" s="10" t="s">
        <v>326</v>
      </c>
      <c r="G96" s="10" t="s">
        <v>335</v>
      </c>
      <c r="H96" s="11" t="s">
        <v>294</v>
      </c>
      <c r="I96" s="10"/>
      <c r="J96" s="12" t="s">
        <v>201</v>
      </c>
      <c r="K96">
        <f>VLOOKUP(A96,[1]Sheet4!A:B,2,FALSE)</f>
        <v>0</v>
      </c>
      <c r="M96" t="e">
        <f>VLOOKUP(K96,[3]Combined_Columns!$A:$E,5,FALSE)</f>
        <v>#N/A</v>
      </c>
      <c r="O96" t="s">
        <v>201</v>
      </c>
      <c r="P96" s="10" t="s">
        <v>192</v>
      </c>
      <c r="Q96" s="10" t="s">
        <v>193</v>
      </c>
      <c r="R96" s="10" t="s">
        <v>346</v>
      </c>
      <c r="S96" t="e">
        <f>VLOOKUP(Q96,[2]Sheet2!$D:$E,2,FALSE)</f>
        <v>#N/A</v>
      </c>
      <c r="T96" t="e">
        <f>VLOOKUP(Q96,[2]Sheet2!$D:$F,3,FALSE)</f>
        <v>#N/A</v>
      </c>
      <c r="U96" t="e">
        <f>VLOOKUP(Q96,[2]Sheet2!$D:$G,4,FALSE)</f>
        <v>#N/A</v>
      </c>
    </row>
    <row r="97" spans="1:21" x14ac:dyDescent="0.3">
      <c r="A97" s="10" t="s">
        <v>194</v>
      </c>
      <c r="B97" s="10" t="s">
        <v>301</v>
      </c>
      <c r="C97" s="10" t="s">
        <v>301</v>
      </c>
      <c r="D97" s="10" t="s">
        <v>291</v>
      </c>
      <c r="E97" s="10" t="s">
        <v>301</v>
      </c>
      <c r="F97" s="10" t="s">
        <v>326</v>
      </c>
      <c r="G97" s="10" t="s">
        <v>335</v>
      </c>
      <c r="H97" s="11" t="s">
        <v>294</v>
      </c>
      <c r="I97" s="10"/>
      <c r="J97" s="12" t="s">
        <v>201</v>
      </c>
      <c r="K97">
        <f>VLOOKUP(A97,[1]Sheet4!A:B,2,FALSE)</f>
        <v>0</v>
      </c>
      <c r="M97" t="e">
        <f>VLOOKUP(K97,[3]Combined_Columns!$A:$E,5,FALSE)</f>
        <v>#N/A</v>
      </c>
      <c r="O97" t="s">
        <v>201</v>
      </c>
      <c r="P97" s="10" t="s">
        <v>194</v>
      </c>
      <c r="Q97" s="10" t="s">
        <v>195</v>
      </c>
      <c r="R97" s="10" t="s">
        <v>346</v>
      </c>
      <c r="S97" t="e">
        <f>VLOOKUP(Q97,[2]Sheet2!$D:$E,2,FALSE)</f>
        <v>#N/A</v>
      </c>
      <c r="T97" t="e">
        <f>VLOOKUP(Q97,[2]Sheet2!$D:$F,3,FALSE)</f>
        <v>#N/A</v>
      </c>
      <c r="U97" t="e">
        <f>VLOOKUP(Q97,[2]Sheet2!$D:$G,4,FALSE)</f>
        <v>#N/A</v>
      </c>
    </row>
    <row r="98" spans="1:21" x14ac:dyDescent="0.3">
      <c r="A98" s="10" t="s">
        <v>205</v>
      </c>
      <c r="B98" s="10" t="s">
        <v>291</v>
      </c>
      <c r="C98" s="10" t="s">
        <v>291</v>
      </c>
      <c r="D98" s="10" t="s">
        <v>291</v>
      </c>
      <c r="E98" s="10" t="s">
        <v>291</v>
      </c>
      <c r="F98" s="10" t="s">
        <v>292</v>
      </c>
      <c r="G98" s="10" t="s">
        <v>335</v>
      </c>
      <c r="H98" s="11" t="s">
        <v>298</v>
      </c>
      <c r="J98" s="12" t="s">
        <v>201</v>
      </c>
      <c r="K98">
        <v>0</v>
      </c>
      <c r="O98" t="s">
        <v>201</v>
      </c>
      <c r="P98" s="10" t="s">
        <v>205</v>
      </c>
      <c r="Q98" s="10" t="s">
        <v>141</v>
      </c>
      <c r="R98" s="10" t="s">
        <v>328</v>
      </c>
    </row>
  </sheetData>
  <autoFilter ref="A1:V98" xr:uid="{BACF61A0-65C6-4758-A0A3-2C5BEFCBF1E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5F233A89D10489A63A5C0995E4C93" ma:contentTypeVersion="13" ma:contentTypeDescription="Create a new document." ma:contentTypeScope="" ma:versionID="7b6feb04c113ee6f55ae3eeb387836f0">
  <xsd:schema xmlns:xsd="http://www.w3.org/2001/XMLSchema" xmlns:xs="http://www.w3.org/2001/XMLSchema" xmlns:p="http://schemas.microsoft.com/office/2006/metadata/properties" xmlns:ns2="0b878551-6eef-49a4-a409-0cbd8a1e6dc2" xmlns:ns3="48b3f5a2-2bd0-47d7-88a1-ba96d283619f" targetNamespace="http://schemas.microsoft.com/office/2006/metadata/properties" ma:root="true" ma:fieldsID="07c59ccda7d2dfecda5380b340126a30" ns2:_="" ns3:_="">
    <xsd:import namespace="0b878551-6eef-49a4-a409-0cbd8a1e6dc2"/>
    <xsd:import namespace="48b3f5a2-2bd0-47d7-88a1-ba96d28361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78551-6eef-49a4-a409-0cbd8a1e6d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3f5a2-2bd0-47d7-88a1-ba96d28361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3ab26b-54fd-4a1d-9640-6a52c4fd192e}" ma:internalName="TaxCatchAll" ma:showField="CatchAllData" ma:web="48b3f5a2-2bd0-47d7-88a1-ba96d28361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3f5a2-2bd0-47d7-88a1-ba96d283619f" xsi:nil="true"/>
    <lcf76f155ced4ddcb4097134ff3c332f xmlns="0b878551-6eef-49a4-a409-0cbd8a1e6d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A3BC5B-2ED2-43BC-B923-D7066F7B5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78551-6eef-49a4-a409-0cbd8a1e6dc2"/>
    <ds:schemaRef ds:uri="48b3f5a2-2bd0-47d7-88a1-ba96d2836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63078E-C783-42B0-821C-FC88B4064785}">
  <ds:schemaRefs>
    <ds:schemaRef ds:uri="http://schemas.microsoft.com/office/2006/metadata/properties"/>
    <ds:schemaRef ds:uri="http://schemas.microsoft.com/office/infopath/2007/PartnerControls"/>
    <ds:schemaRef ds:uri="48b3f5a2-2bd0-47d7-88a1-ba96d283619f"/>
    <ds:schemaRef ds:uri="0b878551-6eef-49a4-a409-0cbd8a1e6dc2"/>
  </ds:schemaRefs>
</ds:datastoreItem>
</file>

<file path=customXml/itemProps3.xml><?xml version="1.0" encoding="utf-8"?>
<ds:datastoreItem xmlns:ds="http://schemas.openxmlformats.org/officeDocument/2006/customXml" ds:itemID="{CF422A9E-35FC-4196-978F-7650C1949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Name</vt:lpstr>
      <vt:lpstr>DB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Widji Santoso [MTI]</dc:creator>
  <cp:lastModifiedBy>Widji Santoso [MTI]</cp:lastModifiedBy>
  <dcterms:created xsi:type="dcterms:W3CDTF">2025-12-08T01:57:33Z</dcterms:created>
  <dcterms:modified xsi:type="dcterms:W3CDTF">2025-12-17T07:25:56Z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0x010100C8F5F233A89D10489A63A5C0995E4C93</vt:lpwstr>
  </property>
  <property fmtid="{D5CDD505-2E9C-101B-9397-08002B2CF9AE}" pid="3" name="MediaServiceImageTags">
    <vt:lpwstr/>
  </property>
</Properties>
</file>