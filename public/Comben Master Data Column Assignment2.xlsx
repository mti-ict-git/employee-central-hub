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Projects\employee-central-hub\public\"/>
    </mc:Choice>
  </mc:AlternateContent>
  <xr:revisionPtr revIDLastSave="0" documentId="13_ncr:1_{F342DF3B-77DC-4851-ABD0-D68C788D551B}" xr6:coauthVersionLast="47" xr6:coauthVersionMax="47" xr10:uidLastSave="{00000000-0000-0000-0000-000000000000}"/>
  <bookViews>
    <workbookView xWindow="-108" yWindow="-108" windowWidth="23256" windowHeight="13896" xr2:uid="{26DFB078-8C99-433D-B382-84578E9DF5B7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</calcChain>
</file>

<file path=xl/sharedStrings.xml><?xml version="1.0" encoding="utf-8"?>
<sst xmlns="http://schemas.openxmlformats.org/spreadsheetml/2006/main" count="682" uniqueCount="204">
  <si>
    <t>Column Name</t>
  </si>
  <si>
    <t>Finance</t>
  </si>
  <si>
    <t>All Admin</t>
  </si>
  <si>
    <t>Insurance (Endorsment)</t>
  </si>
  <si>
    <t>insurance_endorsement</t>
  </si>
  <si>
    <t>Insurance Card Owlexa</t>
  </si>
  <si>
    <t>insurance_owlexa</t>
  </si>
  <si>
    <t>Insurance Card FPG</t>
  </si>
  <si>
    <t>insurance_fpg</t>
  </si>
  <si>
    <t>Emp. ID</t>
  </si>
  <si>
    <t>employee_id</t>
  </si>
  <si>
    <t>IMIP ID</t>
  </si>
  <si>
    <t>imip_id</t>
  </si>
  <si>
    <t>Employee Name</t>
  </si>
  <si>
    <t>name</t>
  </si>
  <si>
    <t>Gender</t>
  </si>
  <si>
    <t>gender</t>
  </si>
  <si>
    <t>Place of Birth</t>
  </si>
  <si>
    <t>place_of_birth</t>
  </si>
  <si>
    <t>Date of Birth</t>
  </si>
  <si>
    <t>date_of_birth</t>
  </si>
  <si>
    <t>Age</t>
  </si>
  <si>
    <t>age</t>
  </si>
  <si>
    <t>Marital Status</t>
  </si>
  <si>
    <t>marital_status</t>
  </si>
  <si>
    <t>Tax Status</t>
  </si>
  <si>
    <t>tax_status</t>
  </si>
  <si>
    <t>Spouse Name</t>
  </si>
  <si>
    <t>spouse_name</t>
  </si>
  <si>
    <t>Child Name 1</t>
  </si>
  <si>
    <t>child_name_1</t>
  </si>
  <si>
    <t>Child Name 2</t>
  </si>
  <si>
    <t>child_name_2</t>
  </si>
  <si>
    <t>Child Name 3</t>
  </si>
  <si>
    <t>child_name_3</t>
  </si>
  <si>
    <t>Religion</t>
  </si>
  <si>
    <t>religion</t>
  </si>
  <si>
    <t>Nationality</t>
  </si>
  <si>
    <t>nationality</t>
  </si>
  <si>
    <t>Blood Type</t>
  </si>
  <si>
    <t>blood_type</t>
  </si>
  <si>
    <t>Mobile Phone</t>
  </si>
  <si>
    <t>phone_number</t>
  </si>
  <si>
    <t>Emergency Contact Name</t>
  </si>
  <si>
    <t>emergency_contact_name</t>
  </si>
  <si>
    <t>Emergency Contact Phone</t>
  </si>
  <si>
    <t>emergency_contact_phone</t>
  </si>
  <si>
    <t>Kartu Keluarga No</t>
  </si>
  <si>
    <t>kartu_keluarga_no</t>
  </si>
  <si>
    <t>KTP No</t>
  </si>
  <si>
    <t>ktp_no</t>
  </si>
  <si>
    <t>KTP Address</t>
  </si>
  <si>
    <t>address</t>
  </si>
  <si>
    <t>KTP City</t>
  </si>
  <si>
    <t>city</t>
  </si>
  <si>
    <t>Poin of Hire</t>
  </si>
  <si>
    <t>point_of_hire</t>
  </si>
  <si>
    <t>Poin of Origin</t>
  </si>
  <si>
    <t>point_of_origin</t>
  </si>
  <si>
    <t>Education</t>
  </si>
  <si>
    <t>education</t>
  </si>
  <si>
    <t>Schedule Type</t>
  </si>
  <si>
    <t>schedule_type</t>
  </si>
  <si>
    <t>First Join Date (Merdeka Group)</t>
  </si>
  <si>
    <t>first_join_date_merdeka</t>
  </si>
  <si>
    <t>Transfer Merdeka Group</t>
  </si>
  <si>
    <t>transfer_merdeka</t>
  </si>
  <si>
    <t>First Join Date</t>
  </si>
  <si>
    <t>first_join_date</t>
  </si>
  <si>
    <t>Join Date</t>
  </si>
  <si>
    <t>join_date</t>
  </si>
  <si>
    <t>Employment Status</t>
  </si>
  <si>
    <t>employment_status</t>
  </si>
  <si>
    <t>End Contract</t>
  </si>
  <si>
    <t>end_contract</t>
  </si>
  <si>
    <t>Years in Service</t>
  </si>
  <si>
    <t>years_in_service</t>
  </si>
  <si>
    <t>Branch ID</t>
  </si>
  <si>
    <t>branch_id</t>
  </si>
  <si>
    <t>Branch</t>
  </si>
  <si>
    <t>branch</t>
  </si>
  <si>
    <t>Company Office</t>
  </si>
  <si>
    <t>company_office</t>
  </si>
  <si>
    <t>Work Location</t>
  </si>
  <si>
    <t>work_location</t>
  </si>
  <si>
    <t>Division</t>
  </si>
  <si>
    <t>division</t>
  </si>
  <si>
    <t>Department</t>
  </si>
  <si>
    <t>department</t>
  </si>
  <si>
    <t>Section</t>
  </si>
  <si>
    <t>section</t>
  </si>
  <si>
    <t>Direct Report</t>
  </si>
  <si>
    <t>direct_report</t>
  </si>
  <si>
    <t>Job Title</t>
  </si>
  <si>
    <t>job_title</t>
  </si>
  <si>
    <t>Grade</t>
  </si>
  <si>
    <t>grade</t>
  </si>
  <si>
    <t>Position Grade</t>
  </si>
  <si>
    <t>position_grade</t>
  </si>
  <si>
    <t>Group Job Title</t>
  </si>
  <si>
    <t>group_job_title</t>
  </si>
  <si>
    <t>Bank Name</t>
  </si>
  <si>
    <t>bank_name</t>
  </si>
  <si>
    <t>Account Name</t>
  </si>
  <si>
    <t>account_name</t>
  </si>
  <si>
    <t>Account No</t>
  </si>
  <si>
    <t>account_no</t>
  </si>
  <si>
    <t>NPWP</t>
  </si>
  <si>
    <t>npwp</t>
  </si>
  <si>
    <t>BPJS TK No</t>
  </si>
  <si>
    <t>bpjs_tk</t>
  </si>
  <si>
    <t>BPJS KES No</t>
  </si>
  <si>
    <t>bpjs_kes</t>
  </si>
  <si>
    <t>STATUS BPJS Kesehatan</t>
  </si>
  <si>
    <t>status_bpjs_kes</t>
  </si>
  <si>
    <t>KITAS NO</t>
  </si>
  <si>
    <t>kitas_no</t>
  </si>
  <si>
    <t>PASSPORT ID</t>
  </si>
  <si>
    <t>passport_no</t>
  </si>
  <si>
    <t>Travel In</t>
  </si>
  <si>
    <t>travel_in</t>
  </si>
  <si>
    <t>Travel Out</t>
  </si>
  <si>
    <t>travel_out</t>
  </si>
  <si>
    <t>Social Insurance No (alt BPJS TK)</t>
  </si>
  <si>
    <t>social_insurance_no_alt</t>
  </si>
  <si>
    <t>BPJS Kesehatan No (alt BPJS KES)</t>
  </si>
  <si>
    <t>bpjs_kes_no_alt</t>
  </si>
  <si>
    <t>Terminated Date</t>
  </si>
  <si>
    <t>terminated_date</t>
  </si>
  <si>
    <t>Terminated Type</t>
  </si>
  <si>
    <t>terminated_type</t>
  </si>
  <si>
    <t>Terminated Reason</t>
  </si>
  <si>
    <t>terminated_reason</t>
  </si>
  <si>
    <t>Black List MTI</t>
  </si>
  <si>
    <t>blacklist_mti</t>
  </si>
  <si>
    <t>Black List IMIP</t>
  </si>
  <si>
    <t>blacklist_imip</t>
  </si>
  <si>
    <t>Office Email</t>
  </si>
  <si>
    <t>office_email</t>
  </si>
  <si>
    <t>Local / Non Local</t>
  </si>
  <si>
    <t>status</t>
  </si>
  <si>
    <t>FPG No</t>
  </si>
  <si>
    <t>fpg_no</t>
  </si>
  <si>
    <t>OWLEXA No</t>
  </si>
  <si>
    <t>owlexa_no</t>
  </si>
  <si>
    <t>Month of Birthday</t>
  </si>
  <si>
    <t>month_of_birthday</t>
  </si>
  <si>
    <t>ID CARD MTI</t>
  </si>
  <si>
    <t>id_card_mti</t>
  </si>
  <si>
    <t>Field</t>
  </si>
  <si>
    <t>field</t>
  </si>
  <si>
    <t>Bank Code</t>
  </si>
  <si>
    <t>bank_code</t>
  </si>
  <si>
    <t>ICBC Bank Account No.</t>
  </si>
  <si>
    <t>icbc_bank_account_no</t>
  </si>
  <si>
    <t>Name as Pasport</t>
  </si>
  <si>
    <t>name_as_passport</t>
  </si>
  <si>
    <t>Personal email</t>
  </si>
  <si>
    <t>email</t>
  </si>
  <si>
    <t>Passport Expiry</t>
  </si>
  <si>
    <t>passport_expiry</t>
  </si>
  <si>
    <t>KITAS Expiry</t>
  </si>
  <si>
    <t>kitas_expiry</t>
  </si>
  <si>
    <t>IMTA</t>
  </si>
  <si>
    <t>imta</t>
  </si>
  <si>
    <t>RPTKA No</t>
  </si>
  <si>
    <t>rptka_no</t>
  </si>
  <si>
    <t>RPTKA Position</t>
  </si>
  <si>
    <t>rptka_position</t>
  </si>
  <si>
    <t>KITAS Address</t>
  </si>
  <si>
    <t>kitas_address</t>
  </si>
  <si>
    <t>Job Tittle (Based on KITAS)</t>
  </si>
  <si>
    <t>job_title_kitas</t>
  </si>
  <si>
    <t>ICBC Username</t>
  </si>
  <si>
    <t>icbc_username</t>
  </si>
  <si>
    <t>Batch</t>
  </si>
  <si>
    <t>batch</t>
  </si>
  <si>
    <t>Cek Document / Note</t>
  </si>
  <si>
    <t>note</t>
  </si>
  <si>
    <t>Paspor (Checklist)</t>
  </si>
  <si>
    <t>KITAS (Checklist)</t>
  </si>
  <si>
    <t>kitas_checklist</t>
  </si>
  <si>
    <t>IMTA (Checklist)</t>
  </si>
  <si>
    <t>imta_checklist</t>
  </si>
  <si>
    <t>RPTKA (Checklist)</t>
  </si>
  <si>
    <t>rptka_checklist</t>
  </si>
  <si>
    <t>NPWP (Checklist)</t>
  </si>
  <si>
    <t>npwp_checklist</t>
  </si>
  <si>
    <t>BPJS-KES (Checklist)</t>
  </si>
  <si>
    <t>bpjs_kes_checklist</t>
  </si>
  <si>
    <t>BPJS-TK (Checklist)</t>
  </si>
  <si>
    <t>bpjs_tk_checklist</t>
  </si>
  <si>
    <t>Bank (Checklist)</t>
  </si>
  <si>
    <t>bank_checklist</t>
  </si>
  <si>
    <t>Indonesia</t>
  </si>
  <si>
    <t>Expat</t>
  </si>
  <si>
    <t>Y</t>
  </si>
  <si>
    <t>HR (SS, TA, IR)</t>
  </si>
  <si>
    <t>N</t>
  </si>
  <si>
    <t>Note :</t>
  </si>
  <si>
    <t>Untuk admin hanya bisa akses karyawan pada departemenya masing masing</t>
  </si>
  <si>
    <t>Table</t>
  </si>
  <si>
    <t>DB Schema</t>
  </si>
  <si>
    <t>paspor_checklist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</si>
</sst>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cripts\Projects\mti-employee\backend\scripts\Comben%20Master%20Data%20Column%20Assignment.xlsx" TargetMode="External"/><Relationship Id="rId1" Type="http://schemas.openxmlformats.org/officeDocument/2006/relationships/externalLinkPath" Target="/Scripts/Projects/mti-employee/backend/scripts/Comben%20Master%20Data%20Column%20Assign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lumn Name"/>
      <sheetName val="DB Schema"/>
    </sheetNames>
    <sheetDataSet>
      <sheetData sheetId="0"/>
      <sheetData sheetId="1">
        <row r="1">
          <cell r="Q1" t="str">
            <v>Mapping to Existing DB Schema</v>
          </cell>
          <cell r="R1" t="str">
            <v>Existing Table Name</v>
          </cell>
        </row>
        <row r="2">
          <cell r="Q2" t="str">
            <v>insurance_endorsement</v>
          </cell>
          <cell r="R2" t="str">
            <v>employee_insurance</v>
          </cell>
        </row>
        <row r="3">
          <cell r="Q3" t="str">
            <v>insurance_owlexa</v>
          </cell>
          <cell r="R3" t="str">
            <v>employee_insurance</v>
          </cell>
        </row>
        <row r="4">
          <cell r="Q4" t="str">
            <v>insurance_fpg</v>
          </cell>
          <cell r="R4" t="str">
            <v>employee_insurance</v>
          </cell>
        </row>
        <row r="5">
          <cell r="Q5" t="str">
            <v>employee_id</v>
          </cell>
          <cell r="R5" t="str">
            <v>employee_bank, employee_contact, employee_core, employee_employment, employee_insurance, employee_onboard, employee_travel</v>
          </cell>
        </row>
        <row r="6">
          <cell r="Q6" t="str">
            <v>imip_id</v>
          </cell>
          <cell r="R6" t="str">
            <v>employee_core</v>
          </cell>
        </row>
        <row r="7">
          <cell r="Q7" t="str">
            <v>name</v>
          </cell>
          <cell r="R7" t="str">
            <v>employee_core</v>
          </cell>
        </row>
        <row r="8">
          <cell r="Q8" t="str">
            <v>gender</v>
          </cell>
          <cell r="R8" t="str">
            <v>employee_core</v>
          </cell>
        </row>
        <row r="9">
          <cell r="Q9" t="str">
            <v>place_of_birth</v>
          </cell>
          <cell r="R9" t="str">
            <v>employee_core</v>
          </cell>
        </row>
        <row r="10">
          <cell r="Q10" t="str">
            <v>date_of_birth</v>
          </cell>
          <cell r="R10" t="str">
            <v>employee_core</v>
          </cell>
        </row>
        <row r="11">
          <cell r="Q11" t="str">
            <v>age</v>
          </cell>
          <cell r="R11" t="str">
            <v>employee_core</v>
          </cell>
        </row>
        <row r="12">
          <cell r="Q12" t="str">
            <v>marital_status</v>
          </cell>
          <cell r="R12" t="str">
            <v>employee_core</v>
          </cell>
        </row>
        <row r="13">
          <cell r="Q13" t="str">
            <v>tax_status</v>
          </cell>
          <cell r="R13" t="str">
            <v>employee_core</v>
          </cell>
        </row>
        <row r="14">
          <cell r="Q14" t="str">
            <v>spouse_name</v>
          </cell>
          <cell r="R14" t="str">
            <v>employee_contact</v>
          </cell>
        </row>
        <row r="15">
          <cell r="Q15" t="str">
            <v>child_name_1</v>
          </cell>
          <cell r="R15" t="str">
            <v>employee_contact</v>
          </cell>
        </row>
        <row r="16">
          <cell r="Q16" t="str">
            <v>child_name_2</v>
          </cell>
          <cell r="R16" t="str">
            <v>employee_contact</v>
          </cell>
        </row>
        <row r="17">
          <cell r="Q17" t="str">
            <v>child_name_3</v>
          </cell>
          <cell r="R17" t="str">
            <v>employee_contact</v>
          </cell>
        </row>
        <row r="18">
          <cell r="Q18" t="str">
            <v>religion</v>
          </cell>
          <cell r="R18" t="str">
            <v>employee_core</v>
          </cell>
        </row>
        <row r="19">
          <cell r="Q19" t="str">
            <v>nationality</v>
          </cell>
          <cell r="R19" t="str">
            <v>employee_core</v>
          </cell>
        </row>
        <row r="20">
          <cell r="Q20" t="str">
            <v>blood_type</v>
          </cell>
          <cell r="R20" t="str">
            <v>employee_core</v>
          </cell>
        </row>
        <row r="21">
          <cell r="Q21" t="str">
            <v>phone_number</v>
          </cell>
          <cell r="R21" t="str">
            <v>employee_contact</v>
          </cell>
        </row>
        <row r="22">
          <cell r="Q22" t="str">
            <v>emergency_contact_name</v>
          </cell>
          <cell r="R22" t="str">
            <v>employee_contact</v>
          </cell>
        </row>
        <row r="23">
          <cell r="Q23" t="str">
            <v>emergency_contact_phone</v>
          </cell>
          <cell r="R23" t="str">
            <v>employee_contact</v>
          </cell>
        </row>
        <row r="24">
          <cell r="Q24" t="str">
            <v>kartu_keluarga_no</v>
          </cell>
          <cell r="R24" t="str">
            <v>employee_core</v>
          </cell>
        </row>
        <row r="25">
          <cell r="Q25" t="str">
            <v>ktp_no</v>
          </cell>
          <cell r="R25" t="str">
            <v>employee_core</v>
          </cell>
        </row>
        <row r="26">
          <cell r="Q26" t="str">
            <v>address</v>
          </cell>
          <cell r="R26" t="str">
            <v>employee_contact</v>
          </cell>
        </row>
        <row r="27">
          <cell r="Q27" t="str">
            <v>city</v>
          </cell>
          <cell r="R27" t="str">
            <v>employee_contact</v>
          </cell>
        </row>
        <row r="28">
          <cell r="Q28" t="str">
            <v>point_of_hire</v>
          </cell>
          <cell r="R28" t="str">
            <v>employee_onboard</v>
          </cell>
        </row>
        <row r="29">
          <cell r="Q29" t="str">
            <v>point_of_origin</v>
          </cell>
          <cell r="R29" t="str">
            <v>employee_onboard</v>
          </cell>
        </row>
        <row r="30">
          <cell r="Q30" t="str">
            <v>education</v>
          </cell>
          <cell r="R30" t="str">
            <v>employee_core</v>
          </cell>
        </row>
        <row r="31">
          <cell r="Q31" t="str">
            <v>schedule_type</v>
          </cell>
          <cell r="R31" t="str">
            <v>employee_onboard</v>
          </cell>
        </row>
        <row r="32">
          <cell r="Q32" t="str">
            <v>first_join_date_merdeka</v>
          </cell>
          <cell r="R32" t="str">
            <v>employee_onboard</v>
          </cell>
        </row>
        <row r="33">
          <cell r="Q33" t="str">
            <v>transfer_merdeka</v>
          </cell>
          <cell r="R33" t="str">
            <v>employee_onboard</v>
          </cell>
        </row>
        <row r="34">
          <cell r="Q34" t="str">
            <v>first_join_date</v>
          </cell>
          <cell r="R34" t="str">
            <v>employee_onboard</v>
          </cell>
        </row>
        <row r="35">
          <cell r="Q35" t="str">
            <v>join_date</v>
          </cell>
          <cell r="R35" t="str">
            <v>employee_onboard</v>
          </cell>
        </row>
        <row r="36">
          <cell r="Q36" t="str">
            <v>employment_status</v>
          </cell>
          <cell r="R36" t="str">
            <v>employee_onboard</v>
          </cell>
        </row>
        <row r="37">
          <cell r="Q37" t="str">
            <v>end_contract</v>
          </cell>
          <cell r="R37" t="str">
            <v>employee_onboard</v>
          </cell>
        </row>
        <row r="38">
          <cell r="Q38" t="str">
            <v>years_in_service</v>
          </cell>
          <cell r="R38" t="str">
            <v>employee_onboard</v>
          </cell>
        </row>
        <row r="39">
          <cell r="Q39" t="str">
            <v>branch_id</v>
          </cell>
          <cell r="R39" t="str">
            <v>employee_core</v>
          </cell>
        </row>
        <row r="40">
          <cell r="Q40" t="str">
            <v>branch</v>
          </cell>
          <cell r="R40" t="str">
            <v>employee_core</v>
          </cell>
        </row>
        <row r="41">
          <cell r="Q41" t="str">
            <v>company_office</v>
          </cell>
          <cell r="R41" t="str">
            <v>employee_employment</v>
          </cell>
        </row>
        <row r="42">
          <cell r="Q42" t="str">
            <v>work_location</v>
          </cell>
          <cell r="R42" t="str">
            <v>employee_employment</v>
          </cell>
        </row>
        <row r="43">
          <cell r="Q43" t="str">
            <v>division</v>
          </cell>
          <cell r="R43" t="str">
            <v>employee_employment</v>
          </cell>
        </row>
        <row r="44">
          <cell r="Q44" t="str">
            <v>department</v>
          </cell>
          <cell r="R44" t="str">
            <v>employee_employment</v>
          </cell>
        </row>
        <row r="45">
          <cell r="Q45" t="str">
            <v>section</v>
          </cell>
          <cell r="R45" t="str">
            <v>employee_employment</v>
          </cell>
        </row>
        <row r="46">
          <cell r="Q46" t="str">
            <v>direct_report</v>
          </cell>
          <cell r="R46" t="str">
            <v>employee_employment</v>
          </cell>
        </row>
        <row r="47">
          <cell r="Q47" t="str">
            <v>job_title</v>
          </cell>
          <cell r="R47" t="str">
            <v>employee_employment</v>
          </cell>
        </row>
        <row r="48">
          <cell r="Q48" t="str">
            <v>grade</v>
          </cell>
          <cell r="R48" t="str">
            <v>employee_employment</v>
          </cell>
        </row>
        <row r="49">
          <cell r="Q49" t="str">
            <v>position_grade</v>
          </cell>
          <cell r="R49" t="str">
            <v>employee_employment</v>
          </cell>
        </row>
        <row r="50">
          <cell r="Q50" t="str">
            <v>group_job_title</v>
          </cell>
          <cell r="R50" t="str">
            <v>employee_employment</v>
          </cell>
        </row>
        <row r="51">
          <cell r="Q51" t="str">
            <v>bank_name</v>
          </cell>
          <cell r="R51" t="str">
            <v>employee_bank</v>
          </cell>
        </row>
        <row r="52">
          <cell r="Q52" t="str">
            <v>account_name</v>
          </cell>
          <cell r="R52" t="str">
            <v>employee_bank</v>
          </cell>
        </row>
        <row r="53">
          <cell r="Q53" t="str">
            <v>account_no</v>
          </cell>
          <cell r="R53" t="str">
            <v>employee_bank</v>
          </cell>
        </row>
        <row r="54">
          <cell r="Q54" t="str">
            <v>npwp</v>
          </cell>
          <cell r="R54" t="str">
            <v>employee_core</v>
          </cell>
        </row>
        <row r="55">
          <cell r="Q55" t="str">
            <v>bpjs_tk</v>
          </cell>
          <cell r="R55" t="str">
            <v>employee_insurance</v>
          </cell>
        </row>
        <row r="56">
          <cell r="Q56" t="str">
            <v>bpjs_kes</v>
          </cell>
          <cell r="R56" t="str">
            <v>employee_insurance</v>
          </cell>
        </row>
        <row r="57">
          <cell r="Q57" t="str">
            <v>status_bpjs_kes</v>
          </cell>
          <cell r="R57" t="str">
            <v>employee_insurance</v>
          </cell>
        </row>
        <row r="58">
          <cell r="Q58" t="str">
            <v>kitas_no</v>
          </cell>
          <cell r="R58" t="str">
            <v>employee_travel</v>
          </cell>
        </row>
        <row r="59">
          <cell r="Q59" t="str">
            <v>passport_no</v>
          </cell>
          <cell r="R59" t="str">
            <v>employee_travel</v>
          </cell>
        </row>
        <row r="60">
          <cell r="Q60" t="str">
            <v>travel_in</v>
          </cell>
          <cell r="R60" t="str">
            <v>employee_travel</v>
          </cell>
        </row>
        <row r="61">
          <cell r="Q61" t="str">
            <v>travel_out</v>
          </cell>
          <cell r="R61" t="str">
            <v>employee_travel</v>
          </cell>
        </row>
        <row r="62">
          <cell r="Q62" t="str">
            <v>social_insurance_no_alt</v>
          </cell>
          <cell r="R62" t="str">
            <v>employee_insurance</v>
          </cell>
        </row>
        <row r="63">
          <cell r="Q63" t="str">
            <v>bpjs_kes_no_alt</v>
          </cell>
          <cell r="R63" t="str">
            <v>employee_insurance</v>
          </cell>
        </row>
        <row r="64">
          <cell r="Q64" t="str">
            <v>terminated_date</v>
          </cell>
          <cell r="R64" t="str">
            <v>employee_employment</v>
          </cell>
        </row>
        <row r="65">
          <cell r="Q65" t="str">
            <v>terminated_type</v>
          </cell>
          <cell r="R65" t="str">
            <v>employee_employment</v>
          </cell>
        </row>
        <row r="66">
          <cell r="Q66" t="str">
            <v>terminated_reason</v>
          </cell>
          <cell r="R66" t="str">
            <v>employee_employment</v>
          </cell>
        </row>
        <row r="67">
          <cell r="Q67" t="str">
            <v>blacklist_mti</v>
          </cell>
          <cell r="R67" t="str">
            <v>employee_employment</v>
          </cell>
        </row>
        <row r="68">
          <cell r="Q68" t="str">
            <v>blacklist_imip</v>
          </cell>
          <cell r="R68" t="str">
            <v>employee_employment</v>
          </cell>
        </row>
        <row r="69">
          <cell r="Q69" t="str">
            <v>office_email</v>
          </cell>
          <cell r="R69" t="str">
            <v>employee_core</v>
          </cell>
        </row>
        <row r="70">
          <cell r="Q70" t="str">
            <v>locality_status</v>
          </cell>
          <cell r="R70" t="str">
            <v>employee_employment</v>
          </cell>
        </row>
        <row r="71">
          <cell r="Q71" t="str">
            <v>fpg_no</v>
          </cell>
          <cell r="R71" t="str">
            <v>employee_insurance</v>
          </cell>
        </row>
        <row r="72">
          <cell r="Q72" t="str">
            <v>owlexa_no</v>
          </cell>
          <cell r="R72" t="str">
            <v>employee_insurance</v>
          </cell>
        </row>
        <row r="73">
          <cell r="Q73" t="str">
            <v>month_of_birthday</v>
          </cell>
          <cell r="R73" t="str">
            <v>employee_core</v>
          </cell>
        </row>
        <row r="74">
          <cell r="Q74" t="str">
            <v>id_card_mti</v>
          </cell>
          <cell r="R74" t="str">
            <v>employee_core</v>
          </cell>
        </row>
        <row r="75">
          <cell r="Q75" t="str">
            <v>field</v>
          </cell>
          <cell r="R75" t="str">
            <v>employee_core</v>
          </cell>
        </row>
        <row r="76">
          <cell r="Q76" t="str">
            <v>bank_code</v>
          </cell>
          <cell r="R76" t="str">
            <v>employee_bank</v>
          </cell>
        </row>
        <row r="77">
          <cell r="Q77" t="str">
            <v>icbc_bank_account_no</v>
          </cell>
          <cell r="R77" t="str">
            <v>employee_bank</v>
          </cell>
        </row>
        <row r="78">
          <cell r="Q78" t="str">
            <v>name_as_passport</v>
          </cell>
          <cell r="R78" t="str">
            <v>employee_travel</v>
          </cell>
        </row>
        <row r="79">
          <cell r="Q79" t="str">
            <v>email</v>
          </cell>
          <cell r="R79" t="str">
            <v>employee_contact</v>
          </cell>
        </row>
        <row r="80">
          <cell r="Q80" t="str">
            <v>passport_expiry</v>
          </cell>
          <cell r="R80" t="str">
            <v>employee_travel</v>
          </cell>
        </row>
        <row r="81">
          <cell r="Q81" t="str">
            <v>kitas_expiry</v>
          </cell>
          <cell r="R81" t="str">
            <v>employee_travel</v>
          </cell>
        </row>
        <row r="82">
          <cell r="Q82" t="str">
            <v>imta</v>
          </cell>
          <cell r="R82" t="str">
            <v>employee_travel</v>
          </cell>
        </row>
        <row r="83">
          <cell r="Q83" t="str">
            <v>rptka_no</v>
          </cell>
          <cell r="R83" t="str">
            <v>employee_travel</v>
          </cell>
        </row>
        <row r="84">
          <cell r="Q84" t="str">
            <v>rptka_position</v>
          </cell>
          <cell r="R84" t="str">
            <v>employee_travel</v>
          </cell>
        </row>
        <row r="85">
          <cell r="Q85" t="str">
            <v>kitas_address</v>
          </cell>
          <cell r="R85" t="str">
            <v>employee_travel</v>
          </cell>
        </row>
        <row r="86">
          <cell r="Q86" t="str">
            <v>job_title_kitas</v>
          </cell>
          <cell r="R86" t="str">
            <v>employee_travel</v>
          </cell>
        </row>
        <row r="87">
          <cell r="Q87" t="str">
            <v>icbc_username</v>
          </cell>
          <cell r="R87" t="str">
            <v>employee_bank</v>
          </cell>
        </row>
        <row r="88">
          <cell r="Q88" t="str">
            <v>batch</v>
          </cell>
          <cell r="R88" t="str">
            <v>employee_notes</v>
          </cell>
        </row>
        <row r="89">
          <cell r="Q89" t="str">
            <v>note</v>
          </cell>
          <cell r="R89" t="str">
            <v>employee_notes</v>
          </cell>
        </row>
        <row r="90">
          <cell r="Q90" t="str">
            <v>paspor_checklist</v>
          </cell>
          <cell r="R90" t="str">
            <v>employee_checklist</v>
          </cell>
        </row>
        <row r="91">
          <cell r="Q91" t="str">
            <v>kitas_checklist</v>
          </cell>
          <cell r="R91" t="str">
            <v>employee_checklist</v>
          </cell>
        </row>
        <row r="92">
          <cell r="Q92" t="str">
            <v>imta_checklist</v>
          </cell>
          <cell r="R92" t="str">
            <v>employee_checklist</v>
          </cell>
        </row>
        <row r="93">
          <cell r="Q93" t="str">
            <v>rptka_checklist</v>
          </cell>
          <cell r="R93" t="str">
            <v>employee_checklist</v>
          </cell>
        </row>
        <row r="94">
          <cell r="Q94" t="str">
            <v>npwp_checklist</v>
          </cell>
          <cell r="R94" t="str">
            <v>employee_checklist</v>
          </cell>
        </row>
        <row r="95">
          <cell r="Q95" t="str">
            <v>bpjs_kes_checklist</v>
          </cell>
          <cell r="R95" t="str">
            <v>employee_checklist</v>
          </cell>
        </row>
        <row r="96">
          <cell r="Q96" t="str">
            <v>bpjs_tk_checklist</v>
          </cell>
          <cell r="R96" t="str">
            <v>employee_checklist</v>
          </cell>
        </row>
        <row r="97">
          <cell r="Q97" t="str">
            <v>bank_checklist</v>
          </cell>
          <cell r="R97" t="str">
            <v>employee_checklist</v>
          </cell>
        </row>
        <row r="98">
          <cell r="Q98" t="str">
            <v>status</v>
          </cell>
          <cell r="R98" t="str">
            <v>employee_employment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513D1-27A8-4ABB-A7B9-745E03D0DB31}" name="Table2" displayName="Table2" ref="A1:H97" totalsRowShown="0" headerRowDxfId="10" dataDxfId="9" tableBorderDxfId="8">
  <autoFilter ref="A1:H97" xr:uid="{CBB4A28B-B8F0-48AD-BE35-5AABDB62F63F}"/>
  <tableColumns count="8">
    <tableColumn id="1" xr3:uid="{0856A74C-BCE9-4D05-9465-F1423C8562E7}" name="Column Name" dataDxfId="7"/>
    <tableColumn id="2" xr3:uid="{3655FBC6-CECA-437B-AC7B-0B19DE431B9D}" name="DB Schema" dataDxfId="6"/>
    <tableColumn id="5" xr3:uid="{526B6A54-504A-4011-94D7-931958703B8D}" name="Table" dataDxfId="5">
      <calculatedColumnFormula>VLOOKUP(Table2[[#This Row],[DB Schema]],'[1]DB Schema'!$Q:$R,2,FALSE)</calculatedColumnFormula>
    </tableColumn>
    <tableColumn id="3" xr3:uid="{7E49C79A-C56E-47A6-B6C3-01793AC49709}" name="Indonesia" dataDxfId="4"/>
    <tableColumn id="4" xr3:uid="{5CB00D89-619B-468D-AAF0-92E2DA88C7B7}" name="Expat" dataDxfId="3"/>
    <tableColumn id="8" xr3:uid="{E17053AF-EBDC-4DA8-B8D2-283930502A0E}" name="HR (SS, TA, IR)" dataDxfId="2"/>
    <tableColumn id="6" xr3:uid="{8FEF0DAF-BD7F-4725-A204-ACBA08F17DCE}" name="Finance" dataDxfId="1"/>
    <tableColumn id="7" xr3:uid="{F43C464A-D1F2-42E8-9984-098E2D815E23}" name="All Admi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A28B-B8F0-48AD-BE35-5AABDB62F63F}">
  <dimension ref="A1:J97"/>
  <sheetViews>
    <sheetView tabSelected="1" topLeftCell="B67" zoomScale="110" zoomScaleNormal="110" workbookViewId="0">
      <selection activeCell="C90" sqref="C90"/>
    </sheetView>
  </sheetViews>
  <sheetFormatPr defaultRowHeight="14.4" x14ac:dyDescent="0.3"/>
  <cols>
    <col min="1" max="1" width="27.77734375" hidden="1" customWidth="1"/>
    <col min="2" max="2" width="28.5546875" customWidth="1"/>
    <col min="3" max="3" width="91.33203125" customWidth="1"/>
    <col min="4" max="5" width="28.5546875" customWidth="1"/>
    <col min="6" max="6" width="23.77734375" customWidth="1"/>
    <col min="7" max="7" width="23.21875" customWidth="1"/>
    <col min="8" max="8" width="20.33203125" customWidth="1"/>
  </cols>
  <sheetData>
    <row r="1" spans="1:10" x14ac:dyDescent="0.3">
      <c r="A1" s="5" t="s">
        <v>0</v>
      </c>
      <c r="B1" s="5" t="s">
        <v>202</v>
      </c>
      <c r="C1" s="5" t="s">
        <v>201</v>
      </c>
      <c r="D1" s="5" t="s">
        <v>194</v>
      </c>
      <c r="E1" s="5" t="s">
        <v>195</v>
      </c>
      <c r="F1" s="5" t="s">
        <v>197</v>
      </c>
      <c r="G1" s="5" t="s">
        <v>1</v>
      </c>
      <c r="H1" s="5" t="s">
        <v>2</v>
      </c>
      <c r="J1" t="s">
        <v>199</v>
      </c>
    </row>
    <row r="2" spans="1:10" x14ac:dyDescent="0.3">
      <c r="A2" s="1" t="s">
        <v>3</v>
      </c>
      <c r="B2" s="1" t="s">
        <v>4</v>
      </c>
      <c r="C2" s="1" t="str">
        <f>VLOOKUP(Table2[[#This Row],[DB Schema]],'[1]DB Schema'!$Q:$R,2,FALSE)</f>
        <v>employee_insurance</v>
      </c>
      <c r="D2" s="1" t="s">
        <v>196</v>
      </c>
      <c r="E2" s="1" t="s">
        <v>196</v>
      </c>
      <c r="F2" s="2" t="s">
        <v>198</v>
      </c>
      <c r="G2" s="2" t="s">
        <v>198</v>
      </c>
      <c r="H2" s="2" t="s">
        <v>198</v>
      </c>
      <c r="J2" t="s">
        <v>200</v>
      </c>
    </row>
    <row r="3" spans="1:10" x14ac:dyDescent="0.3">
      <c r="A3" s="1" t="s">
        <v>5</v>
      </c>
      <c r="B3" s="1" t="s">
        <v>6</v>
      </c>
      <c r="C3" s="1" t="str">
        <f>VLOOKUP(Table2[[#This Row],[DB Schema]],'[1]DB Schema'!$Q:$R,2,FALSE)</f>
        <v>employee_insurance</v>
      </c>
      <c r="D3" s="1" t="s">
        <v>196</v>
      </c>
      <c r="E3" s="1" t="s">
        <v>196</v>
      </c>
      <c r="F3" s="2" t="s">
        <v>198</v>
      </c>
      <c r="G3" s="2" t="s">
        <v>198</v>
      </c>
      <c r="H3" s="2" t="s">
        <v>198</v>
      </c>
    </row>
    <row r="4" spans="1:10" x14ac:dyDescent="0.3">
      <c r="A4" s="1" t="s">
        <v>7</v>
      </c>
      <c r="B4" s="1" t="s">
        <v>8</v>
      </c>
      <c r="C4" s="1" t="str">
        <f>VLOOKUP(Table2[[#This Row],[DB Schema]],'[1]DB Schema'!$Q:$R,2,FALSE)</f>
        <v>employee_insurance</v>
      </c>
      <c r="D4" s="1" t="s">
        <v>196</v>
      </c>
      <c r="E4" s="1" t="s">
        <v>196</v>
      </c>
      <c r="F4" s="2" t="s">
        <v>198</v>
      </c>
      <c r="G4" s="2" t="s">
        <v>198</v>
      </c>
      <c r="H4" s="2" t="s">
        <v>198</v>
      </c>
    </row>
    <row r="5" spans="1:10" x14ac:dyDescent="0.3">
      <c r="A5" s="1" t="s">
        <v>9</v>
      </c>
      <c r="B5" s="1" t="s">
        <v>10</v>
      </c>
      <c r="C5" s="1" t="str">
        <f>VLOOKUP(Table2[[#This Row],[DB Schema]],'[1]DB Schema'!$Q:$R,2,FALSE)</f>
        <v>employee_bank, employee_contact, employee_core, employee_employment, employee_insurance, employee_onboard, employee_travel</v>
      </c>
      <c r="D5" s="1" t="s">
        <v>196</v>
      </c>
      <c r="E5" s="1" t="s">
        <v>196</v>
      </c>
      <c r="F5" s="2" t="s">
        <v>196</v>
      </c>
      <c r="G5" s="2" t="s">
        <v>196</v>
      </c>
      <c r="H5" s="2" t="s">
        <v>196</v>
      </c>
    </row>
    <row r="6" spans="1:10" x14ac:dyDescent="0.3">
      <c r="A6" s="1" t="s">
        <v>11</v>
      </c>
      <c r="B6" s="1" t="s">
        <v>12</v>
      </c>
      <c r="C6" s="1" t="str">
        <f>VLOOKUP(Table2[[#This Row],[DB Schema]],'[1]DB Schema'!$Q:$R,2,FALSE)</f>
        <v>employee_core</v>
      </c>
      <c r="D6" s="1" t="s">
        <v>196</v>
      </c>
      <c r="E6" s="1" t="s">
        <v>198</v>
      </c>
      <c r="F6" s="2" t="s">
        <v>196</v>
      </c>
      <c r="G6" s="2" t="s">
        <v>198</v>
      </c>
      <c r="H6" s="2" t="s">
        <v>198</v>
      </c>
    </row>
    <row r="7" spans="1:10" x14ac:dyDescent="0.3">
      <c r="A7" s="1" t="s">
        <v>13</v>
      </c>
      <c r="B7" s="1" t="s">
        <v>14</v>
      </c>
      <c r="C7" s="1" t="str">
        <f>VLOOKUP(Table2[[#This Row],[DB Schema]],'[1]DB Schema'!$Q:$R,2,FALSE)</f>
        <v>employee_core</v>
      </c>
      <c r="D7" s="1" t="s">
        <v>196</v>
      </c>
      <c r="E7" s="1" t="s">
        <v>196</v>
      </c>
      <c r="F7" s="2" t="s">
        <v>196</v>
      </c>
      <c r="G7" s="2" t="s">
        <v>196</v>
      </c>
      <c r="H7" s="2" t="s">
        <v>196</v>
      </c>
    </row>
    <row r="8" spans="1:10" x14ac:dyDescent="0.3">
      <c r="A8" s="1" t="s">
        <v>15</v>
      </c>
      <c r="B8" s="1" t="s">
        <v>16</v>
      </c>
      <c r="C8" s="1" t="str">
        <f>VLOOKUP(Table2[[#This Row],[DB Schema]],'[1]DB Schema'!$Q:$R,2,FALSE)</f>
        <v>employee_core</v>
      </c>
      <c r="D8" s="1" t="s">
        <v>196</v>
      </c>
      <c r="E8" s="1" t="s">
        <v>196</v>
      </c>
      <c r="F8" s="2" t="s">
        <v>196</v>
      </c>
      <c r="G8" s="2" t="s">
        <v>196</v>
      </c>
      <c r="H8" s="2" t="s">
        <v>196</v>
      </c>
    </row>
    <row r="9" spans="1:10" x14ac:dyDescent="0.3">
      <c r="A9" s="1" t="s">
        <v>17</v>
      </c>
      <c r="B9" s="1" t="s">
        <v>18</v>
      </c>
      <c r="C9" s="1" t="str">
        <f>VLOOKUP(Table2[[#This Row],[DB Schema]],'[1]DB Schema'!$Q:$R,2,FALSE)</f>
        <v>employee_core</v>
      </c>
      <c r="D9" s="1" t="s">
        <v>196</v>
      </c>
      <c r="E9" s="1" t="s">
        <v>196</v>
      </c>
      <c r="F9" s="2" t="s">
        <v>196</v>
      </c>
      <c r="G9" s="2" t="s">
        <v>198</v>
      </c>
      <c r="H9" s="2" t="s">
        <v>196</v>
      </c>
    </row>
    <row r="10" spans="1:10" x14ac:dyDescent="0.3">
      <c r="A10" s="1" t="s">
        <v>19</v>
      </c>
      <c r="B10" s="1" t="s">
        <v>20</v>
      </c>
      <c r="C10" s="1" t="str">
        <f>VLOOKUP(Table2[[#This Row],[DB Schema]],'[1]DB Schema'!$Q:$R,2,FALSE)</f>
        <v>employee_core</v>
      </c>
      <c r="D10" s="1" t="s">
        <v>196</v>
      </c>
      <c r="E10" s="1" t="s">
        <v>196</v>
      </c>
      <c r="F10" s="2" t="s">
        <v>196</v>
      </c>
      <c r="G10" s="2" t="s">
        <v>198</v>
      </c>
      <c r="H10" s="2" t="s">
        <v>196</v>
      </c>
    </row>
    <row r="11" spans="1:10" x14ac:dyDescent="0.3">
      <c r="A11" s="1" t="s">
        <v>21</v>
      </c>
      <c r="B11" s="1" t="s">
        <v>22</v>
      </c>
      <c r="C11" s="1" t="str">
        <f>VLOOKUP(Table2[[#This Row],[DB Schema]],'[1]DB Schema'!$Q:$R,2,FALSE)</f>
        <v>employee_core</v>
      </c>
      <c r="D11" s="1" t="s">
        <v>196</v>
      </c>
      <c r="E11" s="1" t="s">
        <v>196</v>
      </c>
      <c r="F11" s="2" t="s">
        <v>196</v>
      </c>
      <c r="G11" s="2" t="s">
        <v>198</v>
      </c>
      <c r="H11" s="2" t="s">
        <v>198</v>
      </c>
    </row>
    <row r="12" spans="1:10" x14ac:dyDescent="0.3">
      <c r="A12" s="1" t="s">
        <v>23</v>
      </c>
      <c r="B12" s="1" t="s">
        <v>24</v>
      </c>
      <c r="C12" s="1" t="str">
        <f>VLOOKUP(Table2[[#This Row],[DB Schema]],'[1]DB Schema'!$Q:$R,2,FALSE)</f>
        <v>employee_core</v>
      </c>
      <c r="D12" s="1" t="s">
        <v>196</v>
      </c>
      <c r="E12" s="1" t="s">
        <v>196</v>
      </c>
      <c r="F12" s="2" t="s">
        <v>198</v>
      </c>
      <c r="G12" s="2" t="s">
        <v>198</v>
      </c>
      <c r="H12" s="2" t="s">
        <v>198</v>
      </c>
    </row>
    <row r="13" spans="1:10" x14ac:dyDescent="0.3">
      <c r="A13" s="1" t="s">
        <v>25</v>
      </c>
      <c r="B13" s="1" t="s">
        <v>26</v>
      </c>
      <c r="C13" s="1" t="str">
        <f>VLOOKUP(Table2[[#This Row],[DB Schema]],'[1]DB Schema'!$Q:$R,2,FALSE)</f>
        <v>employee_core</v>
      </c>
      <c r="D13" s="1" t="s">
        <v>196</v>
      </c>
      <c r="E13" s="1" t="s">
        <v>196</v>
      </c>
      <c r="F13" s="2" t="s">
        <v>198</v>
      </c>
      <c r="G13" s="2" t="s">
        <v>198</v>
      </c>
      <c r="H13" s="2" t="s">
        <v>198</v>
      </c>
    </row>
    <row r="14" spans="1:10" x14ac:dyDescent="0.3">
      <c r="A14" s="1" t="s">
        <v>27</v>
      </c>
      <c r="B14" s="1" t="s">
        <v>28</v>
      </c>
      <c r="C14" s="1" t="str">
        <f>VLOOKUP(Table2[[#This Row],[DB Schema]],'[1]DB Schema'!$Q:$R,2,FALSE)</f>
        <v>employee_contact</v>
      </c>
      <c r="D14" s="1" t="s">
        <v>196</v>
      </c>
      <c r="E14" s="1" t="s">
        <v>198</v>
      </c>
      <c r="F14" s="2" t="s">
        <v>198</v>
      </c>
      <c r="G14" s="2" t="s">
        <v>198</v>
      </c>
      <c r="H14" s="2" t="s">
        <v>198</v>
      </c>
    </row>
    <row r="15" spans="1:10" x14ac:dyDescent="0.3">
      <c r="A15" s="1" t="s">
        <v>29</v>
      </c>
      <c r="B15" s="1" t="s">
        <v>30</v>
      </c>
      <c r="C15" s="1" t="str">
        <f>VLOOKUP(Table2[[#This Row],[DB Schema]],'[1]DB Schema'!$Q:$R,2,FALSE)</f>
        <v>employee_contact</v>
      </c>
      <c r="D15" s="1" t="s">
        <v>196</v>
      </c>
      <c r="E15" s="1" t="s">
        <v>198</v>
      </c>
      <c r="F15" s="2" t="s">
        <v>198</v>
      </c>
      <c r="G15" s="2" t="s">
        <v>198</v>
      </c>
      <c r="H15" s="2" t="s">
        <v>198</v>
      </c>
    </row>
    <row r="16" spans="1:10" x14ac:dyDescent="0.3">
      <c r="A16" s="1" t="s">
        <v>31</v>
      </c>
      <c r="B16" s="1" t="s">
        <v>32</v>
      </c>
      <c r="C16" s="1" t="str">
        <f>VLOOKUP(Table2[[#This Row],[DB Schema]],'[1]DB Schema'!$Q:$R,2,FALSE)</f>
        <v>employee_contact</v>
      </c>
      <c r="D16" s="1" t="s">
        <v>196</v>
      </c>
      <c r="E16" s="1" t="s">
        <v>198</v>
      </c>
      <c r="F16" s="2" t="s">
        <v>198</v>
      </c>
      <c r="G16" s="2" t="s">
        <v>198</v>
      </c>
      <c r="H16" s="2" t="s">
        <v>198</v>
      </c>
    </row>
    <row r="17" spans="1:8" x14ac:dyDescent="0.3">
      <c r="A17" s="1" t="s">
        <v>33</v>
      </c>
      <c r="B17" s="1" t="s">
        <v>34</v>
      </c>
      <c r="C17" s="1" t="str">
        <f>VLOOKUP(Table2[[#This Row],[DB Schema]],'[1]DB Schema'!$Q:$R,2,FALSE)</f>
        <v>employee_contact</v>
      </c>
      <c r="D17" s="1" t="s">
        <v>196</v>
      </c>
      <c r="E17" s="1" t="s">
        <v>198</v>
      </c>
      <c r="F17" s="2" t="s">
        <v>198</v>
      </c>
      <c r="G17" s="2" t="s">
        <v>198</v>
      </c>
      <c r="H17" s="2" t="s">
        <v>198</v>
      </c>
    </row>
    <row r="18" spans="1:8" x14ac:dyDescent="0.3">
      <c r="A18" s="1" t="s">
        <v>35</v>
      </c>
      <c r="B18" s="1" t="s">
        <v>36</v>
      </c>
      <c r="C18" s="1" t="str">
        <f>VLOOKUP(Table2[[#This Row],[DB Schema]],'[1]DB Schema'!$Q:$R,2,FALSE)</f>
        <v>employee_core</v>
      </c>
      <c r="D18" s="1" t="s">
        <v>196</v>
      </c>
      <c r="E18" s="1" t="s">
        <v>196</v>
      </c>
      <c r="F18" s="2" t="s">
        <v>196</v>
      </c>
      <c r="G18" s="2" t="s">
        <v>198</v>
      </c>
      <c r="H18" s="2" t="s">
        <v>196</v>
      </c>
    </row>
    <row r="19" spans="1:8" x14ac:dyDescent="0.3">
      <c r="A19" s="1" t="s">
        <v>37</v>
      </c>
      <c r="B19" s="1" t="s">
        <v>38</v>
      </c>
      <c r="C19" s="1" t="str">
        <f>VLOOKUP(Table2[[#This Row],[DB Schema]],'[1]DB Schema'!$Q:$R,2,FALSE)</f>
        <v>employee_core</v>
      </c>
      <c r="D19" s="1" t="s">
        <v>196</v>
      </c>
      <c r="E19" s="1" t="s">
        <v>196</v>
      </c>
      <c r="F19" s="2" t="s">
        <v>196</v>
      </c>
      <c r="G19" s="2" t="s">
        <v>196</v>
      </c>
      <c r="H19" s="2" t="s">
        <v>196</v>
      </c>
    </row>
    <row r="20" spans="1:8" x14ac:dyDescent="0.3">
      <c r="A20" s="1" t="s">
        <v>39</v>
      </c>
      <c r="B20" s="1" t="s">
        <v>40</v>
      </c>
      <c r="C20" s="1" t="str">
        <f>VLOOKUP(Table2[[#This Row],[DB Schema]],'[1]DB Schema'!$Q:$R,2,FALSE)</f>
        <v>employee_core</v>
      </c>
      <c r="D20" s="1" t="s">
        <v>196</v>
      </c>
      <c r="E20" s="1" t="s">
        <v>196</v>
      </c>
      <c r="F20" s="2" t="s">
        <v>196</v>
      </c>
      <c r="G20" s="2" t="s">
        <v>198</v>
      </c>
      <c r="H20" s="2" t="s">
        <v>198</v>
      </c>
    </row>
    <row r="21" spans="1:8" x14ac:dyDescent="0.3">
      <c r="A21" s="1" t="s">
        <v>41</v>
      </c>
      <c r="B21" s="1" t="s">
        <v>42</v>
      </c>
      <c r="C21" s="1" t="str">
        <f>VLOOKUP(Table2[[#This Row],[DB Schema]],'[1]DB Schema'!$Q:$R,2,FALSE)</f>
        <v>employee_contact</v>
      </c>
      <c r="D21" s="1" t="s">
        <v>196</v>
      </c>
      <c r="E21" s="1" t="s">
        <v>196</v>
      </c>
      <c r="F21" s="2" t="s">
        <v>196</v>
      </c>
      <c r="G21" s="2" t="s">
        <v>196</v>
      </c>
      <c r="H21" s="2" t="s">
        <v>196</v>
      </c>
    </row>
    <row r="22" spans="1:8" x14ac:dyDescent="0.3">
      <c r="A22" s="1" t="s">
        <v>43</v>
      </c>
      <c r="B22" s="1" t="s">
        <v>44</v>
      </c>
      <c r="C22" s="1" t="str">
        <f>VLOOKUP(Table2[[#This Row],[DB Schema]],'[1]DB Schema'!$Q:$R,2,FALSE)</f>
        <v>employee_contact</v>
      </c>
      <c r="D22" s="1" t="s">
        <v>196</v>
      </c>
      <c r="E22" s="1" t="s">
        <v>198</v>
      </c>
      <c r="F22" s="2" t="s">
        <v>198</v>
      </c>
      <c r="G22" s="2" t="s">
        <v>198</v>
      </c>
      <c r="H22" s="2" t="s">
        <v>198</v>
      </c>
    </row>
    <row r="23" spans="1:8" x14ac:dyDescent="0.3">
      <c r="A23" s="1" t="s">
        <v>45</v>
      </c>
      <c r="B23" s="1" t="s">
        <v>46</v>
      </c>
      <c r="C23" s="1" t="str">
        <f>VLOOKUP(Table2[[#This Row],[DB Schema]],'[1]DB Schema'!$Q:$R,2,FALSE)</f>
        <v>employee_contact</v>
      </c>
      <c r="D23" s="1" t="s">
        <v>196</v>
      </c>
      <c r="E23" s="1" t="s">
        <v>198</v>
      </c>
      <c r="F23" s="2" t="s">
        <v>198</v>
      </c>
      <c r="G23" s="2" t="s">
        <v>198</v>
      </c>
      <c r="H23" s="2" t="s">
        <v>198</v>
      </c>
    </row>
    <row r="24" spans="1:8" x14ac:dyDescent="0.3">
      <c r="A24" s="1" t="s">
        <v>47</v>
      </c>
      <c r="B24" s="1" t="s">
        <v>48</v>
      </c>
      <c r="C24" s="1" t="str">
        <f>VLOOKUP(Table2[[#This Row],[DB Schema]],'[1]DB Schema'!$Q:$R,2,FALSE)</f>
        <v>employee_core</v>
      </c>
      <c r="D24" s="1" t="s">
        <v>196</v>
      </c>
      <c r="E24" s="1" t="s">
        <v>198</v>
      </c>
      <c r="F24" s="2" t="s">
        <v>198</v>
      </c>
      <c r="G24" s="2" t="s">
        <v>198</v>
      </c>
      <c r="H24" s="2" t="s">
        <v>198</v>
      </c>
    </row>
    <row r="25" spans="1:8" x14ac:dyDescent="0.3">
      <c r="A25" s="1" t="s">
        <v>49</v>
      </c>
      <c r="B25" s="1" t="s">
        <v>50</v>
      </c>
      <c r="C25" s="1" t="str">
        <f>VLOOKUP(Table2[[#This Row],[DB Schema]],'[1]DB Schema'!$Q:$R,2,FALSE)</f>
        <v>employee_core</v>
      </c>
      <c r="D25" s="1" t="s">
        <v>196</v>
      </c>
      <c r="E25" s="1" t="s">
        <v>198</v>
      </c>
      <c r="F25" s="2" t="s">
        <v>196</v>
      </c>
      <c r="G25" s="2" t="s">
        <v>198</v>
      </c>
      <c r="H25" s="2" t="s">
        <v>198</v>
      </c>
    </row>
    <row r="26" spans="1:8" x14ac:dyDescent="0.3">
      <c r="A26" s="1" t="s">
        <v>51</v>
      </c>
      <c r="B26" s="1" t="s">
        <v>52</v>
      </c>
      <c r="C26" s="1" t="str">
        <f>VLOOKUP(Table2[[#This Row],[DB Schema]],'[1]DB Schema'!$Q:$R,2,FALSE)</f>
        <v>employee_contact</v>
      </c>
      <c r="D26" s="1" t="s">
        <v>196</v>
      </c>
      <c r="E26" s="1" t="s">
        <v>196</v>
      </c>
      <c r="F26" s="2" t="s">
        <v>196</v>
      </c>
      <c r="G26" s="2" t="s">
        <v>196</v>
      </c>
      <c r="H26" s="2" t="s">
        <v>196</v>
      </c>
    </row>
    <row r="27" spans="1:8" x14ac:dyDescent="0.3">
      <c r="A27" s="1" t="s">
        <v>53</v>
      </c>
      <c r="B27" s="1" t="s">
        <v>54</v>
      </c>
      <c r="C27" s="1" t="str">
        <f>VLOOKUP(Table2[[#This Row],[DB Schema]],'[1]DB Schema'!$Q:$R,2,FALSE)</f>
        <v>employee_contact</v>
      </c>
      <c r="D27" s="1" t="s">
        <v>196</v>
      </c>
      <c r="E27" s="1" t="s">
        <v>196</v>
      </c>
      <c r="F27" s="2" t="s">
        <v>196</v>
      </c>
      <c r="G27" s="2" t="s">
        <v>196</v>
      </c>
      <c r="H27" s="2" t="s">
        <v>196</v>
      </c>
    </row>
    <row r="28" spans="1:8" x14ac:dyDescent="0.3">
      <c r="A28" s="1" t="s">
        <v>55</v>
      </c>
      <c r="B28" s="1" t="s">
        <v>56</v>
      </c>
      <c r="C28" s="1" t="str">
        <f>VLOOKUP(Table2[[#This Row],[DB Schema]],'[1]DB Schema'!$Q:$R,2,FALSE)</f>
        <v>employee_onboard</v>
      </c>
      <c r="D28" s="1" t="s">
        <v>196</v>
      </c>
      <c r="E28" s="1" t="s">
        <v>196</v>
      </c>
      <c r="F28" s="2" t="s">
        <v>196</v>
      </c>
      <c r="G28" s="2" t="s">
        <v>196</v>
      </c>
      <c r="H28" s="2" t="s">
        <v>196</v>
      </c>
    </row>
    <row r="29" spans="1:8" x14ac:dyDescent="0.3">
      <c r="A29" s="1" t="s">
        <v>57</v>
      </c>
      <c r="B29" s="1" t="s">
        <v>58</v>
      </c>
      <c r="C29" s="1" t="str">
        <f>VLOOKUP(Table2[[#This Row],[DB Schema]],'[1]DB Schema'!$Q:$R,2,FALSE)</f>
        <v>employee_onboard</v>
      </c>
      <c r="D29" s="1" t="s">
        <v>196</v>
      </c>
      <c r="E29" s="1" t="s">
        <v>196</v>
      </c>
      <c r="F29" s="2" t="s">
        <v>196</v>
      </c>
      <c r="G29" s="2" t="s">
        <v>198</v>
      </c>
      <c r="H29" s="2" t="s">
        <v>198</v>
      </c>
    </row>
    <row r="30" spans="1:8" x14ac:dyDescent="0.3">
      <c r="A30" s="1" t="s">
        <v>59</v>
      </c>
      <c r="B30" s="1" t="s">
        <v>60</v>
      </c>
      <c r="C30" s="1" t="str">
        <f>VLOOKUP(Table2[[#This Row],[DB Schema]],'[1]DB Schema'!$Q:$R,2,FALSE)</f>
        <v>employee_core</v>
      </c>
      <c r="D30" s="1" t="s">
        <v>196</v>
      </c>
      <c r="E30" s="1" t="s">
        <v>196</v>
      </c>
      <c r="F30" s="2" t="s">
        <v>198</v>
      </c>
      <c r="G30" s="2" t="s">
        <v>198</v>
      </c>
      <c r="H30" s="2" t="s">
        <v>198</v>
      </c>
    </row>
    <row r="31" spans="1:8" x14ac:dyDescent="0.3">
      <c r="A31" s="1" t="s">
        <v>61</v>
      </c>
      <c r="B31" s="1" t="s">
        <v>62</v>
      </c>
      <c r="C31" s="1" t="str">
        <f>VLOOKUP(Table2[[#This Row],[DB Schema]],'[1]DB Schema'!$Q:$R,2,FALSE)</f>
        <v>employee_onboard</v>
      </c>
      <c r="D31" s="1" t="s">
        <v>196</v>
      </c>
      <c r="E31" s="1" t="s">
        <v>196</v>
      </c>
      <c r="F31" s="2" t="s">
        <v>198</v>
      </c>
      <c r="G31" s="2" t="s">
        <v>198</v>
      </c>
      <c r="H31" s="2" t="s">
        <v>196</v>
      </c>
    </row>
    <row r="32" spans="1:8" x14ac:dyDescent="0.3">
      <c r="A32" s="1" t="s">
        <v>63</v>
      </c>
      <c r="B32" s="1" t="s">
        <v>64</v>
      </c>
      <c r="C32" s="1" t="str">
        <f>VLOOKUP(Table2[[#This Row],[DB Schema]],'[1]DB Schema'!$Q:$R,2,FALSE)</f>
        <v>employee_onboard</v>
      </c>
      <c r="D32" s="1" t="s">
        <v>196</v>
      </c>
      <c r="E32" s="1" t="s">
        <v>196</v>
      </c>
      <c r="F32" s="2" t="s">
        <v>196</v>
      </c>
      <c r="G32" s="2" t="s">
        <v>198</v>
      </c>
      <c r="H32" s="2" t="s">
        <v>196</v>
      </c>
    </row>
    <row r="33" spans="1:8" x14ac:dyDescent="0.3">
      <c r="A33" s="1" t="s">
        <v>65</v>
      </c>
      <c r="B33" s="1" t="s">
        <v>66</v>
      </c>
      <c r="C33" s="1" t="str">
        <f>VLOOKUP(Table2[[#This Row],[DB Schema]],'[1]DB Schema'!$Q:$R,2,FALSE)</f>
        <v>employee_onboard</v>
      </c>
      <c r="D33" s="1" t="s">
        <v>196</v>
      </c>
      <c r="E33" s="1" t="s">
        <v>198</v>
      </c>
      <c r="F33" s="2" t="s">
        <v>196</v>
      </c>
      <c r="G33" s="2" t="s">
        <v>198</v>
      </c>
      <c r="H33" s="2" t="s">
        <v>196</v>
      </c>
    </row>
    <row r="34" spans="1:8" x14ac:dyDescent="0.3">
      <c r="A34" s="1" t="s">
        <v>67</v>
      </c>
      <c r="B34" s="1" t="s">
        <v>68</v>
      </c>
      <c r="C34" s="1" t="str">
        <f>VLOOKUP(Table2[[#This Row],[DB Schema]],'[1]DB Schema'!$Q:$R,2,FALSE)</f>
        <v>employee_onboard</v>
      </c>
      <c r="D34" s="1" t="s">
        <v>196</v>
      </c>
      <c r="E34" s="1" t="s">
        <v>196</v>
      </c>
      <c r="F34" s="2" t="s">
        <v>196</v>
      </c>
      <c r="G34" s="2" t="s">
        <v>198</v>
      </c>
      <c r="H34" s="2" t="s">
        <v>196</v>
      </c>
    </row>
    <row r="35" spans="1:8" x14ac:dyDescent="0.3">
      <c r="A35" s="1" t="s">
        <v>69</v>
      </c>
      <c r="B35" s="1" t="s">
        <v>70</v>
      </c>
      <c r="C35" s="1" t="str">
        <f>VLOOKUP(Table2[[#This Row],[DB Schema]],'[1]DB Schema'!$Q:$R,2,FALSE)</f>
        <v>employee_onboard</v>
      </c>
      <c r="D35" s="1" t="s">
        <v>196</v>
      </c>
      <c r="E35" s="1" t="s">
        <v>196</v>
      </c>
      <c r="F35" s="2" t="s">
        <v>196</v>
      </c>
      <c r="G35" s="2" t="s">
        <v>198</v>
      </c>
      <c r="H35" s="2" t="s">
        <v>196</v>
      </c>
    </row>
    <row r="36" spans="1:8" x14ac:dyDescent="0.3">
      <c r="A36" s="1" t="s">
        <v>71</v>
      </c>
      <c r="B36" s="1" t="s">
        <v>72</v>
      </c>
      <c r="C36" s="1" t="str">
        <f>VLOOKUP(Table2[[#This Row],[DB Schema]],'[1]DB Schema'!$Q:$R,2,FALSE)</f>
        <v>employee_onboard</v>
      </c>
      <c r="D36" s="1" t="s">
        <v>196</v>
      </c>
      <c r="E36" s="1" t="s">
        <v>196</v>
      </c>
      <c r="F36" s="2" t="s">
        <v>196</v>
      </c>
      <c r="G36" s="2" t="s">
        <v>198</v>
      </c>
      <c r="H36" s="2" t="s">
        <v>196</v>
      </c>
    </row>
    <row r="37" spans="1:8" x14ac:dyDescent="0.3">
      <c r="A37" s="1" t="s">
        <v>73</v>
      </c>
      <c r="B37" s="1" t="s">
        <v>74</v>
      </c>
      <c r="C37" s="1" t="str">
        <f>VLOOKUP(Table2[[#This Row],[DB Schema]],'[1]DB Schema'!$Q:$R,2,FALSE)</f>
        <v>employee_onboard</v>
      </c>
      <c r="D37" s="1" t="s">
        <v>196</v>
      </c>
      <c r="E37" s="1" t="s">
        <v>196</v>
      </c>
      <c r="F37" s="2" t="s">
        <v>196</v>
      </c>
      <c r="G37" s="2" t="s">
        <v>198</v>
      </c>
      <c r="H37" s="2" t="s">
        <v>196</v>
      </c>
    </row>
    <row r="38" spans="1:8" x14ac:dyDescent="0.3">
      <c r="A38" s="1" t="s">
        <v>75</v>
      </c>
      <c r="B38" s="1" t="s">
        <v>76</v>
      </c>
      <c r="C38" s="1" t="str">
        <f>VLOOKUP(Table2[[#This Row],[DB Schema]],'[1]DB Schema'!$Q:$R,2,FALSE)</f>
        <v>employee_onboard</v>
      </c>
      <c r="D38" s="1" t="s">
        <v>196</v>
      </c>
      <c r="E38" s="1" t="s">
        <v>196</v>
      </c>
      <c r="F38" s="2" t="s">
        <v>196</v>
      </c>
      <c r="G38" s="2" t="s">
        <v>198</v>
      </c>
      <c r="H38" s="2" t="s">
        <v>196</v>
      </c>
    </row>
    <row r="39" spans="1:8" x14ac:dyDescent="0.3">
      <c r="A39" s="1" t="s">
        <v>77</v>
      </c>
      <c r="B39" s="1" t="s">
        <v>78</v>
      </c>
      <c r="C39" s="1" t="str">
        <f>VLOOKUP(Table2[[#This Row],[DB Schema]],'[1]DB Schema'!$Q:$R,2,FALSE)</f>
        <v>employee_core</v>
      </c>
      <c r="D39" s="1" t="s">
        <v>196</v>
      </c>
      <c r="E39" s="1" t="s">
        <v>196</v>
      </c>
      <c r="F39" s="2" t="s">
        <v>196</v>
      </c>
      <c r="G39" s="2" t="s">
        <v>198</v>
      </c>
      <c r="H39" s="2" t="s">
        <v>196</v>
      </c>
    </row>
    <row r="40" spans="1:8" x14ac:dyDescent="0.3">
      <c r="A40" s="1" t="s">
        <v>79</v>
      </c>
      <c r="B40" s="1" t="s">
        <v>80</v>
      </c>
      <c r="C40" s="1" t="str">
        <f>VLOOKUP(Table2[[#This Row],[DB Schema]],'[1]DB Schema'!$Q:$R,2,FALSE)</f>
        <v>employee_core</v>
      </c>
      <c r="D40" s="1" t="s">
        <v>196</v>
      </c>
      <c r="E40" s="1" t="s">
        <v>196</v>
      </c>
      <c r="F40" s="2" t="s">
        <v>196</v>
      </c>
      <c r="G40" s="2" t="s">
        <v>198</v>
      </c>
      <c r="H40" s="2" t="s">
        <v>196</v>
      </c>
    </row>
    <row r="41" spans="1:8" x14ac:dyDescent="0.3">
      <c r="A41" s="1" t="s">
        <v>81</v>
      </c>
      <c r="B41" s="1" t="s">
        <v>82</v>
      </c>
      <c r="C41" s="1" t="str">
        <f>VLOOKUP(Table2[[#This Row],[DB Schema]],'[1]DB Schema'!$Q:$R,2,FALSE)</f>
        <v>employee_employment</v>
      </c>
      <c r="D41" s="1" t="s">
        <v>196</v>
      </c>
      <c r="E41" s="1" t="s">
        <v>196</v>
      </c>
      <c r="F41" s="2" t="s">
        <v>196</v>
      </c>
      <c r="G41" s="2" t="s">
        <v>198</v>
      </c>
      <c r="H41" s="2" t="s">
        <v>196</v>
      </c>
    </row>
    <row r="42" spans="1:8" x14ac:dyDescent="0.3">
      <c r="A42" s="1" t="s">
        <v>83</v>
      </c>
      <c r="B42" s="1" t="s">
        <v>84</v>
      </c>
      <c r="C42" s="1" t="str">
        <f>VLOOKUP(Table2[[#This Row],[DB Schema]],'[1]DB Schema'!$Q:$R,2,FALSE)</f>
        <v>employee_employment</v>
      </c>
      <c r="D42" s="1" t="s">
        <v>196</v>
      </c>
      <c r="E42" s="1" t="s">
        <v>196</v>
      </c>
      <c r="F42" s="2" t="s">
        <v>196</v>
      </c>
      <c r="G42" s="2" t="s">
        <v>198</v>
      </c>
      <c r="H42" s="2" t="s">
        <v>196</v>
      </c>
    </row>
    <row r="43" spans="1:8" x14ac:dyDescent="0.3">
      <c r="A43" s="1" t="s">
        <v>85</v>
      </c>
      <c r="B43" s="1" t="s">
        <v>86</v>
      </c>
      <c r="C43" s="1" t="str">
        <f>VLOOKUP(Table2[[#This Row],[DB Schema]],'[1]DB Schema'!$Q:$R,2,FALSE)</f>
        <v>employee_employment</v>
      </c>
      <c r="D43" s="1" t="s">
        <v>196</v>
      </c>
      <c r="E43" s="1" t="s">
        <v>196</v>
      </c>
      <c r="F43" s="2" t="s">
        <v>196</v>
      </c>
      <c r="G43" s="2" t="s">
        <v>198</v>
      </c>
      <c r="H43" s="2" t="s">
        <v>196</v>
      </c>
    </row>
    <row r="44" spans="1:8" x14ac:dyDescent="0.3">
      <c r="A44" s="1" t="s">
        <v>87</v>
      </c>
      <c r="B44" s="1" t="s">
        <v>88</v>
      </c>
      <c r="C44" s="1" t="str">
        <f>VLOOKUP(Table2[[#This Row],[DB Schema]],'[1]DB Schema'!$Q:$R,2,FALSE)</f>
        <v>employee_employment</v>
      </c>
      <c r="D44" s="1" t="s">
        <v>196</v>
      </c>
      <c r="E44" s="1" t="s">
        <v>196</v>
      </c>
      <c r="F44" s="2" t="s">
        <v>196</v>
      </c>
      <c r="G44" s="2" t="s">
        <v>196</v>
      </c>
      <c r="H44" s="2" t="s">
        <v>196</v>
      </c>
    </row>
    <row r="45" spans="1:8" x14ac:dyDescent="0.3">
      <c r="A45" s="1" t="s">
        <v>89</v>
      </c>
      <c r="B45" s="1" t="s">
        <v>90</v>
      </c>
      <c r="C45" s="1" t="str">
        <f>VLOOKUP(Table2[[#This Row],[DB Schema]],'[1]DB Schema'!$Q:$R,2,FALSE)</f>
        <v>employee_employment</v>
      </c>
      <c r="D45" s="1" t="s">
        <v>196</v>
      </c>
      <c r="E45" s="1" t="s">
        <v>196</v>
      </c>
      <c r="F45" s="2" t="s">
        <v>196</v>
      </c>
      <c r="G45" s="2" t="s">
        <v>196</v>
      </c>
      <c r="H45" s="2" t="s">
        <v>196</v>
      </c>
    </row>
    <row r="46" spans="1:8" x14ac:dyDescent="0.3">
      <c r="A46" s="1" t="s">
        <v>91</v>
      </c>
      <c r="B46" s="1" t="s">
        <v>92</v>
      </c>
      <c r="C46" s="1" t="str">
        <f>VLOOKUP(Table2[[#This Row],[DB Schema]],'[1]DB Schema'!$Q:$R,2,FALSE)</f>
        <v>employee_employment</v>
      </c>
      <c r="D46" s="1" t="s">
        <v>196</v>
      </c>
      <c r="E46" s="1" t="s">
        <v>196</v>
      </c>
      <c r="F46" s="2" t="s">
        <v>196</v>
      </c>
      <c r="G46" s="2" t="s">
        <v>196</v>
      </c>
      <c r="H46" s="2" t="s">
        <v>196</v>
      </c>
    </row>
    <row r="47" spans="1:8" x14ac:dyDescent="0.3">
      <c r="A47" s="1" t="s">
        <v>93</v>
      </c>
      <c r="B47" s="1" t="s">
        <v>94</v>
      </c>
      <c r="C47" s="1" t="str">
        <f>VLOOKUP(Table2[[#This Row],[DB Schema]],'[1]DB Schema'!$Q:$R,2,FALSE)</f>
        <v>employee_employment</v>
      </c>
      <c r="D47" s="1" t="s">
        <v>196</v>
      </c>
      <c r="E47" s="1" t="s">
        <v>196</v>
      </c>
      <c r="F47" s="2" t="s">
        <v>196</v>
      </c>
      <c r="G47" s="2" t="s">
        <v>196</v>
      </c>
      <c r="H47" s="2" t="s">
        <v>196</v>
      </c>
    </row>
    <row r="48" spans="1:8" x14ac:dyDescent="0.3">
      <c r="A48" s="1" t="s">
        <v>95</v>
      </c>
      <c r="B48" s="1" t="s">
        <v>96</v>
      </c>
      <c r="C48" s="1" t="str">
        <f>VLOOKUP(Table2[[#This Row],[DB Schema]],'[1]DB Schema'!$Q:$R,2,FALSE)</f>
        <v>employee_employment</v>
      </c>
      <c r="D48" s="1" t="s">
        <v>196</v>
      </c>
      <c r="E48" s="1" t="s">
        <v>196</v>
      </c>
      <c r="F48" s="2" t="s">
        <v>198</v>
      </c>
      <c r="G48" s="2" t="s">
        <v>198</v>
      </c>
      <c r="H48" s="2" t="s">
        <v>198</v>
      </c>
    </row>
    <row r="49" spans="1:8" x14ac:dyDescent="0.3">
      <c r="A49" s="1" t="s">
        <v>97</v>
      </c>
      <c r="B49" s="1" t="s">
        <v>98</v>
      </c>
      <c r="C49" s="1" t="str">
        <f>VLOOKUP(Table2[[#This Row],[DB Schema]],'[1]DB Schema'!$Q:$R,2,FALSE)</f>
        <v>employee_employment</v>
      </c>
      <c r="D49" s="1" t="s">
        <v>196</v>
      </c>
      <c r="E49" s="1" t="s">
        <v>196</v>
      </c>
      <c r="F49" s="2" t="s">
        <v>196</v>
      </c>
      <c r="G49" s="2" t="s">
        <v>196</v>
      </c>
      <c r="H49" s="2" t="s">
        <v>196</v>
      </c>
    </row>
    <row r="50" spans="1:8" x14ac:dyDescent="0.3">
      <c r="A50" s="1" t="s">
        <v>99</v>
      </c>
      <c r="B50" s="1" t="s">
        <v>100</v>
      </c>
      <c r="C50" s="1" t="str">
        <f>VLOOKUP(Table2[[#This Row],[DB Schema]],'[1]DB Schema'!$Q:$R,2,FALSE)</f>
        <v>employee_employment</v>
      </c>
      <c r="D50" s="1" t="s">
        <v>196</v>
      </c>
      <c r="E50" s="1" t="s">
        <v>196</v>
      </c>
      <c r="F50" s="2" t="s">
        <v>196</v>
      </c>
      <c r="G50" s="2" t="s">
        <v>196</v>
      </c>
      <c r="H50" s="2" t="s">
        <v>196</v>
      </c>
    </row>
    <row r="51" spans="1:8" x14ac:dyDescent="0.3">
      <c r="A51" s="1" t="s">
        <v>101</v>
      </c>
      <c r="B51" s="1" t="s">
        <v>102</v>
      </c>
      <c r="C51" s="1" t="str">
        <f>VLOOKUP(Table2[[#This Row],[DB Schema]],'[1]DB Schema'!$Q:$R,2,FALSE)</f>
        <v>employee_bank</v>
      </c>
      <c r="D51" s="1" t="s">
        <v>196</v>
      </c>
      <c r="E51" s="1" t="s">
        <v>196</v>
      </c>
      <c r="F51" s="2" t="s">
        <v>198</v>
      </c>
      <c r="G51" s="2" t="s">
        <v>196</v>
      </c>
      <c r="H51" s="2" t="s">
        <v>198</v>
      </c>
    </row>
    <row r="52" spans="1:8" x14ac:dyDescent="0.3">
      <c r="A52" s="1" t="s">
        <v>103</v>
      </c>
      <c r="B52" s="1" t="s">
        <v>104</v>
      </c>
      <c r="C52" s="1" t="str">
        <f>VLOOKUP(Table2[[#This Row],[DB Schema]],'[1]DB Schema'!$Q:$R,2,FALSE)</f>
        <v>employee_bank</v>
      </c>
      <c r="D52" s="1" t="s">
        <v>196</v>
      </c>
      <c r="E52" s="1" t="s">
        <v>196</v>
      </c>
      <c r="F52" s="2" t="s">
        <v>198</v>
      </c>
      <c r="G52" s="2" t="s">
        <v>196</v>
      </c>
      <c r="H52" s="2" t="s">
        <v>198</v>
      </c>
    </row>
    <row r="53" spans="1:8" x14ac:dyDescent="0.3">
      <c r="A53" s="1" t="s">
        <v>105</v>
      </c>
      <c r="B53" s="1" t="s">
        <v>106</v>
      </c>
      <c r="C53" s="1" t="str">
        <f>VLOOKUP(Table2[[#This Row],[DB Schema]],'[1]DB Schema'!$Q:$R,2,FALSE)</f>
        <v>employee_bank</v>
      </c>
      <c r="D53" s="1" t="s">
        <v>196</v>
      </c>
      <c r="E53" s="1" t="s">
        <v>196</v>
      </c>
      <c r="F53" s="2" t="s">
        <v>198</v>
      </c>
      <c r="G53" s="2" t="s">
        <v>196</v>
      </c>
      <c r="H53" s="2" t="s">
        <v>198</v>
      </c>
    </row>
    <row r="54" spans="1:8" x14ac:dyDescent="0.3">
      <c r="A54" s="1" t="s">
        <v>107</v>
      </c>
      <c r="B54" s="1" t="s">
        <v>108</v>
      </c>
      <c r="C54" s="1" t="str">
        <f>VLOOKUP(Table2[[#This Row],[DB Schema]],'[1]DB Schema'!$Q:$R,2,FALSE)</f>
        <v>employee_core</v>
      </c>
      <c r="D54" s="1" t="s">
        <v>196</v>
      </c>
      <c r="E54" s="1" t="s">
        <v>196</v>
      </c>
      <c r="F54" s="2" t="s">
        <v>198</v>
      </c>
      <c r="G54" s="2" t="s">
        <v>196</v>
      </c>
      <c r="H54" s="2" t="s">
        <v>198</v>
      </c>
    </row>
    <row r="55" spans="1:8" x14ac:dyDescent="0.3">
      <c r="A55" s="1" t="s">
        <v>109</v>
      </c>
      <c r="B55" s="1" t="s">
        <v>110</v>
      </c>
      <c r="C55" s="1" t="str">
        <f>VLOOKUP(Table2[[#This Row],[DB Schema]],'[1]DB Schema'!$Q:$R,2,FALSE)</f>
        <v>employee_insurance</v>
      </c>
      <c r="D55" s="1" t="s">
        <v>196</v>
      </c>
      <c r="E55" s="1" t="s">
        <v>196</v>
      </c>
      <c r="F55" s="2" t="s">
        <v>198</v>
      </c>
      <c r="G55" s="2" t="s">
        <v>198</v>
      </c>
      <c r="H55" s="2" t="s">
        <v>198</v>
      </c>
    </row>
    <row r="56" spans="1:8" x14ac:dyDescent="0.3">
      <c r="A56" s="1" t="s">
        <v>111</v>
      </c>
      <c r="B56" s="1" t="s">
        <v>112</v>
      </c>
      <c r="C56" s="1" t="str">
        <f>VLOOKUP(Table2[[#This Row],[DB Schema]],'[1]DB Schema'!$Q:$R,2,FALSE)</f>
        <v>employee_insurance</v>
      </c>
      <c r="D56" s="1" t="s">
        <v>196</v>
      </c>
      <c r="E56" s="1" t="s">
        <v>196</v>
      </c>
      <c r="F56" s="2" t="s">
        <v>198</v>
      </c>
      <c r="G56" s="2" t="s">
        <v>198</v>
      </c>
      <c r="H56" s="2" t="s">
        <v>198</v>
      </c>
    </row>
    <row r="57" spans="1:8" x14ac:dyDescent="0.3">
      <c r="A57" s="1" t="s">
        <v>113</v>
      </c>
      <c r="B57" s="1" t="s">
        <v>114</v>
      </c>
      <c r="C57" s="1" t="str">
        <f>VLOOKUP(Table2[[#This Row],[DB Schema]],'[1]DB Schema'!$Q:$R,2,FALSE)</f>
        <v>employee_insurance</v>
      </c>
      <c r="D57" s="1" t="s">
        <v>196</v>
      </c>
      <c r="E57" s="1" t="s">
        <v>196</v>
      </c>
      <c r="F57" s="2" t="s">
        <v>198</v>
      </c>
      <c r="G57" s="2" t="s">
        <v>198</v>
      </c>
      <c r="H57" s="2" t="s">
        <v>198</v>
      </c>
    </row>
    <row r="58" spans="1:8" x14ac:dyDescent="0.3">
      <c r="A58" s="1" t="s">
        <v>115</v>
      </c>
      <c r="B58" s="1" t="s">
        <v>116</v>
      </c>
      <c r="C58" s="1" t="str">
        <f>VLOOKUP(Table2[[#This Row],[DB Schema]],'[1]DB Schema'!$Q:$R,2,FALSE)</f>
        <v>employee_travel</v>
      </c>
      <c r="D58" s="1" t="s">
        <v>198</v>
      </c>
      <c r="E58" s="1" t="s">
        <v>196</v>
      </c>
      <c r="F58" s="2" t="s">
        <v>198</v>
      </c>
      <c r="G58" s="2" t="s">
        <v>198</v>
      </c>
      <c r="H58" s="2" t="s">
        <v>198</v>
      </c>
    </row>
    <row r="59" spans="1:8" x14ac:dyDescent="0.3">
      <c r="A59" s="1" t="s">
        <v>117</v>
      </c>
      <c r="B59" s="1" t="s">
        <v>118</v>
      </c>
      <c r="C59" s="1" t="str">
        <f>VLOOKUP(Table2[[#This Row],[DB Schema]],'[1]DB Schema'!$Q:$R,2,FALSE)</f>
        <v>employee_travel</v>
      </c>
      <c r="D59" s="1" t="s">
        <v>198</v>
      </c>
      <c r="E59" s="1" t="s">
        <v>196</v>
      </c>
      <c r="F59" s="2" t="s">
        <v>198</v>
      </c>
      <c r="G59" s="2" t="s">
        <v>198</v>
      </c>
      <c r="H59" s="2" t="s">
        <v>198</v>
      </c>
    </row>
    <row r="60" spans="1:8" x14ac:dyDescent="0.3">
      <c r="A60" s="1" t="s">
        <v>119</v>
      </c>
      <c r="B60" s="1" t="s">
        <v>120</v>
      </c>
      <c r="C60" s="1" t="str">
        <f>VLOOKUP(Table2[[#This Row],[DB Schema]],'[1]DB Schema'!$Q:$R,2,FALSE)</f>
        <v>employee_travel</v>
      </c>
      <c r="D60" s="1" t="s">
        <v>196</v>
      </c>
      <c r="E60" s="1" t="s">
        <v>196</v>
      </c>
      <c r="F60" s="2" t="s">
        <v>198</v>
      </c>
      <c r="G60" s="2" t="s">
        <v>198</v>
      </c>
      <c r="H60" s="2" t="s">
        <v>198</v>
      </c>
    </row>
    <row r="61" spans="1:8" x14ac:dyDescent="0.3">
      <c r="A61" s="1" t="s">
        <v>121</v>
      </c>
      <c r="B61" s="1" t="s">
        <v>122</v>
      </c>
      <c r="C61" s="1" t="str">
        <f>VLOOKUP(Table2[[#This Row],[DB Schema]],'[1]DB Schema'!$Q:$R,2,FALSE)</f>
        <v>employee_travel</v>
      </c>
      <c r="D61" s="1" t="s">
        <v>196</v>
      </c>
      <c r="E61" s="1" t="s">
        <v>196</v>
      </c>
      <c r="F61" s="2" t="s">
        <v>198</v>
      </c>
      <c r="G61" s="2" t="s">
        <v>198</v>
      </c>
      <c r="H61" s="2" t="s">
        <v>198</v>
      </c>
    </row>
    <row r="62" spans="1:8" x14ac:dyDescent="0.3">
      <c r="A62" s="1" t="s">
        <v>123</v>
      </c>
      <c r="B62" s="1" t="s">
        <v>124</v>
      </c>
      <c r="C62" s="1" t="str">
        <f>VLOOKUP(Table2[[#This Row],[DB Schema]],'[1]DB Schema'!$Q:$R,2,FALSE)</f>
        <v>employee_insurance</v>
      </c>
      <c r="D62" s="1" t="s">
        <v>196</v>
      </c>
      <c r="E62" s="1" t="s">
        <v>196</v>
      </c>
      <c r="F62" s="2" t="s">
        <v>198</v>
      </c>
      <c r="G62" s="2" t="s">
        <v>198</v>
      </c>
      <c r="H62" s="2" t="s">
        <v>198</v>
      </c>
    </row>
    <row r="63" spans="1:8" x14ac:dyDescent="0.3">
      <c r="A63" s="1" t="s">
        <v>125</v>
      </c>
      <c r="B63" s="1" t="s">
        <v>126</v>
      </c>
      <c r="C63" s="1" t="str">
        <f>VLOOKUP(Table2[[#This Row],[DB Schema]],'[1]DB Schema'!$Q:$R,2,FALSE)</f>
        <v>employee_insurance</v>
      </c>
      <c r="D63" s="1" t="s">
        <v>196</v>
      </c>
      <c r="E63" s="1" t="s">
        <v>196</v>
      </c>
      <c r="F63" s="2" t="s">
        <v>198</v>
      </c>
      <c r="G63" s="2" t="s">
        <v>198</v>
      </c>
      <c r="H63" s="2" t="s">
        <v>198</v>
      </c>
    </row>
    <row r="64" spans="1:8" x14ac:dyDescent="0.3">
      <c r="A64" s="1" t="s">
        <v>127</v>
      </c>
      <c r="B64" s="1" t="s">
        <v>128</v>
      </c>
      <c r="C64" s="1" t="str">
        <f>VLOOKUP(Table2[[#This Row],[DB Schema]],'[1]DB Schema'!$Q:$R,2,FALSE)</f>
        <v>employee_employment</v>
      </c>
      <c r="D64" s="1" t="s">
        <v>196</v>
      </c>
      <c r="E64" s="1" t="s">
        <v>196</v>
      </c>
      <c r="F64" s="2" t="s">
        <v>196</v>
      </c>
      <c r="G64" s="2" t="s">
        <v>198</v>
      </c>
      <c r="H64" s="2" t="s">
        <v>196</v>
      </c>
    </row>
    <row r="65" spans="1:8" x14ac:dyDescent="0.3">
      <c r="A65" s="1" t="s">
        <v>129</v>
      </c>
      <c r="B65" s="1" t="s">
        <v>130</v>
      </c>
      <c r="C65" s="1" t="str">
        <f>VLOOKUP(Table2[[#This Row],[DB Schema]],'[1]DB Schema'!$Q:$R,2,FALSE)</f>
        <v>employee_employment</v>
      </c>
      <c r="D65" s="1" t="s">
        <v>196</v>
      </c>
      <c r="E65" s="1" t="s">
        <v>196</v>
      </c>
      <c r="F65" s="2" t="s">
        <v>196</v>
      </c>
      <c r="G65" s="2" t="s">
        <v>198</v>
      </c>
      <c r="H65" s="2" t="s">
        <v>198</v>
      </c>
    </row>
    <row r="66" spans="1:8" x14ac:dyDescent="0.3">
      <c r="A66" s="1" t="s">
        <v>131</v>
      </c>
      <c r="B66" s="1" t="s">
        <v>132</v>
      </c>
      <c r="C66" s="1" t="str">
        <f>VLOOKUP(Table2[[#This Row],[DB Schema]],'[1]DB Schema'!$Q:$R,2,FALSE)</f>
        <v>employee_employment</v>
      </c>
      <c r="D66" s="1" t="s">
        <v>196</v>
      </c>
      <c r="E66" s="1" t="s">
        <v>196</v>
      </c>
      <c r="F66" s="2" t="s">
        <v>196</v>
      </c>
      <c r="G66" s="2" t="s">
        <v>198</v>
      </c>
      <c r="H66" s="2" t="s">
        <v>198</v>
      </c>
    </row>
    <row r="67" spans="1:8" x14ac:dyDescent="0.3">
      <c r="A67" s="1" t="s">
        <v>133</v>
      </c>
      <c r="B67" s="1" t="s">
        <v>134</v>
      </c>
      <c r="C67" s="1" t="str">
        <f>VLOOKUP(Table2[[#This Row],[DB Schema]],'[1]DB Schema'!$Q:$R,2,FALSE)</f>
        <v>employee_employment</v>
      </c>
      <c r="D67" s="1" t="s">
        <v>196</v>
      </c>
      <c r="E67" s="1" t="s">
        <v>198</v>
      </c>
      <c r="F67" s="2" t="s">
        <v>198</v>
      </c>
      <c r="G67" s="2" t="s">
        <v>198</v>
      </c>
      <c r="H67" s="2" t="s">
        <v>198</v>
      </c>
    </row>
    <row r="68" spans="1:8" x14ac:dyDescent="0.3">
      <c r="A68" s="1" t="s">
        <v>135</v>
      </c>
      <c r="B68" s="1" t="s">
        <v>136</v>
      </c>
      <c r="C68" s="1" t="str">
        <f>VLOOKUP(Table2[[#This Row],[DB Schema]],'[1]DB Schema'!$Q:$R,2,FALSE)</f>
        <v>employee_employment</v>
      </c>
      <c r="D68" s="1" t="s">
        <v>196</v>
      </c>
      <c r="E68" s="1" t="s">
        <v>198</v>
      </c>
      <c r="F68" s="2" t="s">
        <v>198</v>
      </c>
      <c r="G68" s="2" t="s">
        <v>198</v>
      </c>
      <c r="H68" s="2" t="s">
        <v>198</v>
      </c>
    </row>
    <row r="69" spans="1:8" x14ac:dyDescent="0.3">
      <c r="A69" s="1" t="s">
        <v>137</v>
      </c>
      <c r="B69" s="1" t="s">
        <v>138</v>
      </c>
      <c r="C69" s="1" t="str">
        <f>VLOOKUP(Table2[[#This Row],[DB Schema]],'[1]DB Schema'!$Q:$R,2,FALSE)</f>
        <v>employee_core</v>
      </c>
      <c r="D69" s="1" t="s">
        <v>196</v>
      </c>
      <c r="E69" s="1" t="s">
        <v>196</v>
      </c>
      <c r="F69" s="2" t="s">
        <v>196</v>
      </c>
      <c r="G69" s="2" t="s">
        <v>196</v>
      </c>
      <c r="H69" s="2" t="s">
        <v>198</v>
      </c>
    </row>
    <row r="70" spans="1:8" x14ac:dyDescent="0.3">
      <c r="A70" s="1" t="s">
        <v>139</v>
      </c>
      <c r="B70" s="1" t="s">
        <v>140</v>
      </c>
      <c r="C70" s="1" t="str">
        <f>VLOOKUP(Table2[[#This Row],[DB Schema]],'[1]DB Schema'!$Q:$R,2,FALSE)</f>
        <v>employee_employment</v>
      </c>
      <c r="D70" s="1" t="s">
        <v>196</v>
      </c>
      <c r="E70" s="1" t="s">
        <v>196</v>
      </c>
      <c r="F70" s="2" t="s">
        <v>198</v>
      </c>
      <c r="G70" s="2" t="s">
        <v>198</v>
      </c>
      <c r="H70" s="2" t="s">
        <v>198</v>
      </c>
    </row>
    <row r="71" spans="1:8" x14ac:dyDescent="0.3">
      <c r="A71" s="1" t="s">
        <v>141</v>
      </c>
      <c r="B71" s="1" t="s">
        <v>142</v>
      </c>
      <c r="C71" s="1" t="str">
        <f>VLOOKUP(Table2[[#This Row],[DB Schema]],'[1]DB Schema'!$Q:$R,2,FALSE)</f>
        <v>employee_insurance</v>
      </c>
      <c r="D71" s="1" t="s">
        <v>196</v>
      </c>
      <c r="E71" s="1" t="s">
        <v>196</v>
      </c>
      <c r="F71" s="2" t="s">
        <v>198</v>
      </c>
      <c r="G71" s="2" t="s">
        <v>198</v>
      </c>
      <c r="H71" s="2" t="s">
        <v>198</v>
      </c>
    </row>
    <row r="72" spans="1:8" x14ac:dyDescent="0.3">
      <c r="A72" s="1" t="s">
        <v>143</v>
      </c>
      <c r="B72" s="1" t="s">
        <v>144</v>
      </c>
      <c r="C72" s="1" t="str">
        <f>VLOOKUP(Table2[[#This Row],[DB Schema]],'[1]DB Schema'!$Q:$R,2,FALSE)</f>
        <v>employee_insurance</v>
      </c>
      <c r="D72" s="1" t="s">
        <v>196</v>
      </c>
      <c r="E72" s="1" t="s">
        <v>196</v>
      </c>
      <c r="F72" s="2" t="s">
        <v>198</v>
      </c>
      <c r="G72" s="2" t="s">
        <v>198</v>
      </c>
      <c r="H72" s="2" t="s">
        <v>198</v>
      </c>
    </row>
    <row r="73" spans="1:8" x14ac:dyDescent="0.3">
      <c r="A73" s="1" t="s">
        <v>145</v>
      </c>
      <c r="B73" s="1" t="s">
        <v>146</v>
      </c>
      <c r="C73" s="1" t="str">
        <f>VLOOKUP(Table2[[#This Row],[DB Schema]],'[1]DB Schema'!$Q:$R,2,FALSE)</f>
        <v>employee_core</v>
      </c>
      <c r="D73" s="1" t="s">
        <v>196</v>
      </c>
      <c r="E73" s="1" t="s">
        <v>196</v>
      </c>
      <c r="F73" s="2" t="s">
        <v>198</v>
      </c>
      <c r="G73" s="2" t="s">
        <v>198</v>
      </c>
      <c r="H73" s="2" t="s">
        <v>198</v>
      </c>
    </row>
    <row r="74" spans="1:8" x14ac:dyDescent="0.3">
      <c r="A74" s="1" t="s">
        <v>147</v>
      </c>
      <c r="B74" s="1" t="s">
        <v>148</v>
      </c>
      <c r="C74" s="1" t="str">
        <f>VLOOKUP(Table2[[#This Row],[DB Schema]],'[1]DB Schema'!$Q:$R,2,FALSE)</f>
        <v>employee_core</v>
      </c>
      <c r="D74" s="1" t="s">
        <v>196</v>
      </c>
      <c r="E74" s="1" t="s">
        <v>196</v>
      </c>
      <c r="F74" s="2" t="s">
        <v>196</v>
      </c>
      <c r="G74" s="2" t="s">
        <v>198</v>
      </c>
      <c r="H74" s="2" t="s">
        <v>196</v>
      </c>
    </row>
    <row r="75" spans="1:8" x14ac:dyDescent="0.3">
      <c r="A75" s="1" t="s">
        <v>149</v>
      </c>
      <c r="B75" s="1" t="s">
        <v>150</v>
      </c>
      <c r="C75" s="1" t="str">
        <f>VLOOKUP(Table2[[#This Row],[DB Schema]],'[1]DB Schema'!$Q:$R,2,FALSE)</f>
        <v>employee_core</v>
      </c>
      <c r="D75" s="1" t="s">
        <v>198</v>
      </c>
      <c r="E75" s="1" t="s">
        <v>196</v>
      </c>
      <c r="F75" s="2" t="s">
        <v>198</v>
      </c>
      <c r="G75" s="2" t="s">
        <v>198</v>
      </c>
      <c r="H75" s="2" t="s">
        <v>198</v>
      </c>
    </row>
    <row r="76" spans="1:8" x14ac:dyDescent="0.3">
      <c r="A76" s="1" t="s">
        <v>151</v>
      </c>
      <c r="B76" s="1" t="s">
        <v>152</v>
      </c>
      <c r="C76" s="1" t="str">
        <f>VLOOKUP(Table2[[#This Row],[DB Schema]],'[1]DB Schema'!$Q:$R,2,FALSE)</f>
        <v>employee_bank</v>
      </c>
      <c r="D76" s="1" t="s">
        <v>198</v>
      </c>
      <c r="E76" s="1" t="s">
        <v>196</v>
      </c>
      <c r="F76" s="2" t="s">
        <v>198</v>
      </c>
      <c r="G76" s="2" t="s">
        <v>198</v>
      </c>
      <c r="H76" s="2" t="s">
        <v>198</v>
      </c>
    </row>
    <row r="77" spans="1:8" x14ac:dyDescent="0.3">
      <c r="A77" s="1" t="s">
        <v>153</v>
      </c>
      <c r="B77" s="1" t="s">
        <v>154</v>
      </c>
      <c r="C77" s="1" t="str">
        <f>VLOOKUP(Table2[[#This Row],[DB Schema]],'[1]DB Schema'!$Q:$R,2,FALSE)</f>
        <v>employee_bank</v>
      </c>
      <c r="D77" s="1" t="s">
        <v>198</v>
      </c>
      <c r="E77" s="1" t="s">
        <v>196</v>
      </c>
      <c r="F77" s="2" t="s">
        <v>198</v>
      </c>
      <c r="G77" s="2" t="s">
        <v>198</v>
      </c>
      <c r="H77" s="2" t="s">
        <v>198</v>
      </c>
    </row>
    <row r="78" spans="1:8" x14ac:dyDescent="0.3">
      <c r="A78" s="1" t="s">
        <v>155</v>
      </c>
      <c r="B78" s="1" t="s">
        <v>156</v>
      </c>
      <c r="C78" s="1" t="str">
        <f>VLOOKUP(Table2[[#This Row],[DB Schema]],'[1]DB Schema'!$Q:$R,2,FALSE)</f>
        <v>employee_travel</v>
      </c>
      <c r="D78" s="1" t="s">
        <v>198</v>
      </c>
      <c r="E78" s="1" t="s">
        <v>196</v>
      </c>
      <c r="F78" s="2" t="s">
        <v>198</v>
      </c>
      <c r="G78" s="2" t="s">
        <v>198</v>
      </c>
      <c r="H78" s="2" t="s">
        <v>198</v>
      </c>
    </row>
    <row r="79" spans="1:8" x14ac:dyDescent="0.3">
      <c r="A79" s="1" t="s">
        <v>157</v>
      </c>
      <c r="B79" s="1" t="s">
        <v>158</v>
      </c>
      <c r="C79" s="1" t="str">
        <f>VLOOKUP(Table2[[#This Row],[DB Schema]],'[1]DB Schema'!$Q:$R,2,FALSE)</f>
        <v>employee_contact</v>
      </c>
      <c r="D79" s="1" t="s">
        <v>196</v>
      </c>
      <c r="E79" s="1" t="s">
        <v>196</v>
      </c>
      <c r="F79" s="2" t="s">
        <v>196</v>
      </c>
      <c r="G79" s="2" t="s">
        <v>196</v>
      </c>
      <c r="H79" s="2" t="s">
        <v>196</v>
      </c>
    </row>
    <row r="80" spans="1:8" x14ac:dyDescent="0.3">
      <c r="A80" s="1" t="s">
        <v>159</v>
      </c>
      <c r="B80" s="1" t="s">
        <v>160</v>
      </c>
      <c r="C80" s="1" t="str">
        <f>VLOOKUP(Table2[[#This Row],[DB Schema]],'[1]DB Schema'!$Q:$R,2,FALSE)</f>
        <v>employee_travel</v>
      </c>
      <c r="D80" s="1" t="s">
        <v>198</v>
      </c>
      <c r="E80" s="1" t="s">
        <v>196</v>
      </c>
      <c r="F80" s="2" t="s">
        <v>198</v>
      </c>
      <c r="G80" s="2" t="s">
        <v>198</v>
      </c>
      <c r="H80" s="2" t="s">
        <v>198</v>
      </c>
    </row>
    <row r="81" spans="1:8" x14ac:dyDescent="0.3">
      <c r="A81" s="1" t="s">
        <v>161</v>
      </c>
      <c r="B81" s="1" t="s">
        <v>162</v>
      </c>
      <c r="C81" s="1" t="str">
        <f>VLOOKUP(Table2[[#This Row],[DB Schema]],'[1]DB Schema'!$Q:$R,2,FALSE)</f>
        <v>employee_travel</v>
      </c>
      <c r="D81" s="1" t="s">
        <v>198</v>
      </c>
      <c r="E81" s="1" t="s">
        <v>196</v>
      </c>
      <c r="F81" s="2" t="s">
        <v>198</v>
      </c>
      <c r="G81" s="2" t="s">
        <v>198</v>
      </c>
      <c r="H81" s="2" t="s">
        <v>198</v>
      </c>
    </row>
    <row r="82" spans="1:8" x14ac:dyDescent="0.3">
      <c r="A82" s="1" t="s">
        <v>163</v>
      </c>
      <c r="B82" s="1" t="s">
        <v>164</v>
      </c>
      <c r="C82" s="1" t="str">
        <f>VLOOKUP(Table2[[#This Row],[DB Schema]],'[1]DB Schema'!$Q:$R,2,FALSE)</f>
        <v>employee_travel</v>
      </c>
      <c r="D82" s="1" t="s">
        <v>198</v>
      </c>
      <c r="E82" s="1" t="s">
        <v>196</v>
      </c>
      <c r="F82" s="2" t="s">
        <v>198</v>
      </c>
      <c r="G82" s="2" t="s">
        <v>198</v>
      </c>
      <c r="H82" s="2" t="s">
        <v>198</v>
      </c>
    </row>
    <row r="83" spans="1:8" x14ac:dyDescent="0.3">
      <c r="A83" s="1" t="s">
        <v>165</v>
      </c>
      <c r="B83" s="1" t="s">
        <v>166</v>
      </c>
      <c r="C83" s="1" t="str">
        <f>VLOOKUP(Table2[[#This Row],[DB Schema]],'[1]DB Schema'!$Q:$R,2,FALSE)</f>
        <v>employee_travel</v>
      </c>
      <c r="D83" s="1" t="s">
        <v>198</v>
      </c>
      <c r="E83" s="1" t="s">
        <v>196</v>
      </c>
      <c r="F83" s="2" t="s">
        <v>198</v>
      </c>
      <c r="G83" s="2" t="s">
        <v>198</v>
      </c>
      <c r="H83" s="2" t="s">
        <v>198</v>
      </c>
    </row>
    <row r="84" spans="1:8" x14ac:dyDescent="0.3">
      <c r="A84" s="1" t="s">
        <v>167</v>
      </c>
      <c r="B84" s="1" t="s">
        <v>168</v>
      </c>
      <c r="C84" s="1" t="str">
        <f>VLOOKUP(Table2[[#This Row],[DB Schema]],'[1]DB Schema'!$Q:$R,2,FALSE)</f>
        <v>employee_travel</v>
      </c>
      <c r="D84" s="1" t="s">
        <v>198</v>
      </c>
      <c r="E84" s="1" t="s">
        <v>196</v>
      </c>
      <c r="F84" s="2" t="s">
        <v>198</v>
      </c>
      <c r="G84" s="2" t="s">
        <v>198</v>
      </c>
      <c r="H84" s="2" t="s">
        <v>198</v>
      </c>
    </row>
    <row r="85" spans="1:8" x14ac:dyDescent="0.3">
      <c r="A85" s="1" t="s">
        <v>169</v>
      </c>
      <c r="B85" s="1" t="s">
        <v>170</v>
      </c>
      <c r="C85" s="1" t="str">
        <f>VLOOKUP(Table2[[#This Row],[DB Schema]],'[1]DB Schema'!$Q:$R,2,FALSE)</f>
        <v>employee_travel</v>
      </c>
      <c r="D85" s="1" t="s">
        <v>198</v>
      </c>
      <c r="E85" s="1" t="s">
        <v>196</v>
      </c>
      <c r="F85" s="2" t="s">
        <v>198</v>
      </c>
      <c r="G85" s="2" t="s">
        <v>198</v>
      </c>
      <c r="H85" s="2" t="s">
        <v>198</v>
      </c>
    </row>
    <row r="86" spans="1:8" x14ac:dyDescent="0.3">
      <c r="A86" s="1" t="s">
        <v>171</v>
      </c>
      <c r="B86" s="1" t="s">
        <v>172</v>
      </c>
      <c r="C86" s="1" t="str">
        <f>VLOOKUP(Table2[[#This Row],[DB Schema]],'[1]DB Schema'!$Q:$R,2,FALSE)</f>
        <v>employee_travel</v>
      </c>
      <c r="D86" s="1" t="s">
        <v>198</v>
      </c>
      <c r="E86" s="1" t="s">
        <v>196</v>
      </c>
      <c r="F86" s="2" t="s">
        <v>198</v>
      </c>
      <c r="G86" s="2" t="s">
        <v>198</v>
      </c>
      <c r="H86" s="2" t="s">
        <v>198</v>
      </c>
    </row>
    <row r="87" spans="1:8" x14ac:dyDescent="0.3">
      <c r="A87" s="1" t="s">
        <v>173</v>
      </c>
      <c r="B87" s="1" t="s">
        <v>174</v>
      </c>
      <c r="C87" s="1" t="str">
        <f>VLOOKUP(Table2[[#This Row],[DB Schema]],'[1]DB Schema'!$Q:$R,2,FALSE)</f>
        <v>employee_bank</v>
      </c>
      <c r="D87" s="1" t="s">
        <v>198</v>
      </c>
      <c r="E87" s="1" t="s">
        <v>196</v>
      </c>
      <c r="F87" s="2" t="s">
        <v>198</v>
      </c>
      <c r="G87" s="2" t="s">
        <v>198</v>
      </c>
      <c r="H87" s="2" t="s">
        <v>198</v>
      </c>
    </row>
    <row r="88" spans="1:8" x14ac:dyDescent="0.3">
      <c r="A88" s="1" t="s">
        <v>175</v>
      </c>
      <c r="B88" s="1" t="s">
        <v>176</v>
      </c>
      <c r="C88" s="1" t="str">
        <f>VLOOKUP(Table2[[#This Row],[DB Schema]],'[1]DB Schema'!$Q:$R,2,FALSE)</f>
        <v>employee_notes</v>
      </c>
      <c r="D88" s="1" t="s">
        <v>198</v>
      </c>
      <c r="E88" s="1" t="s">
        <v>196</v>
      </c>
      <c r="F88" s="2" t="s">
        <v>198</v>
      </c>
      <c r="G88" s="2" t="s">
        <v>198</v>
      </c>
      <c r="H88" s="2" t="s">
        <v>198</v>
      </c>
    </row>
    <row r="89" spans="1:8" x14ac:dyDescent="0.3">
      <c r="A89" s="1" t="s">
        <v>177</v>
      </c>
      <c r="B89" s="1" t="s">
        <v>178</v>
      </c>
      <c r="C89" s="1" t="str">
        <f>VLOOKUP(Table2[[#This Row],[DB Schema]],'[1]DB Schema'!$Q:$R,2,FALSE)</f>
        <v>employee_notes</v>
      </c>
      <c r="D89" s="1" t="s">
        <v>198</v>
      </c>
      <c r="E89" s="1" t="s">
        <v>196</v>
      </c>
      <c r="F89" s="2" t="s">
        <v>198</v>
      </c>
      <c r="G89" s="2" t="s">
        <v>198</v>
      </c>
      <c r="H89" s="2" t="s">
        <v>198</v>
      </c>
    </row>
    <row r="90" spans="1:8" x14ac:dyDescent="0.3">
      <c r="A90" s="1" t="s">
        <v>179</v>
      </c>
      <c r="B90" s="1" t="s">
        <v>203</v>
      </c>
      <c r="C90" s="1" t="str">
        <f>VLOOKUP(Table2[[#This Row],[DB Schema]],'[1]DB Schema'!$Q:$R,2,FALSE)</f>
        <v>employee_checklist</v>
      </c>
      <c r="D90" s="1" t="s">
        <v>198</v>
      </c>
      <c r="E90" s="1" t="s">
        <v>196</v>
      </c>
      <c r="F90" s="2" t="s">
        <v>198</v>
      </c>
      <c r="G90" s="2" t="s">
        <v>198</v>
      </c>
      <c r="H90" s="2" t="s">
        <v>198</v>
      </c>
    </row>
    <row r="91" spans="1:8" x14ac:dyDescent="0.3">
      <c r="A91" s="1" t="s">
        <v>180</v>
      </c>
      <c r="B91" s="1" t="s">
        <v>181</v>
      </c>
      <c r="C91" s="1" t="str">
        <f>VLOOKUP(Table2[[#This Row],[DB Schema]],'[1]DB Schema'!$Q:$R,2,FALSE)</f>
        <v>employee_checklist</v>
      </c>
      <c r="D91" s="1" t="s">
        <v>198</v>
      </c>
      <c r="E91" s="1" t="s">
        <v>196</v>
      </c>
      <c r="F91" s="2" t="s">
        <v>198</v>
      </c>
      <c r="G91" s="2" t="s">
        <v>198</v>
      </c>
      <c r="H91" s="2" t="s">
        <v>198</v>
      </c>
    </row>
    <row r="92" spans="1:8" x14ac:dyDescent="0.3">
      <c r="A92" s="1" t="s">
        <v>182</v>
      </c>
      <c r="B92" s="1" t="s">
        <v>183</v>
      </c>
      <c r="C92" s="1" t="str">
        <f>VLOOKUP(Table2[[#This Row],[DB Schema]],'[1]DB Schema'!$Q:$R,2,FALSE)</f>
        <v>employee_checklist</v>
      </c>
      <c r="D92" s="1" t="s">
        <v>198</v>
      </c>
      <c r="E92" s="1" t="s">
        <v>196</v>
      </c>
      <c r="F92" s="2" t="s">
        <v>198</v>
      </c>
      <c r="G92" s="2" t="s">
        <v>198</v>
      </c>
      <c r="H92" s="2" t="s">
        <v>198</v>
      </c>
    </row>
    <row r="93" spans="1:8" x14ac:dyDescent="0.3">
      <c r="A93" s="1" t="s">
        <v>184</v>
      </c>
      <c r="B93" s="1" t="s">
        <v>185</v>
      </c>
      <c r="C93" s="1" t="str">
        <f>VLOOKUP(Table2[[#This Row],[DB Schema]],'[1]DB Schema'!$Q:$R,2,FALSE)</f>
        <v>employee_checklist</v>
      </c>
      <c r="D93" s="1" t="s">
        <v>198</v>
      </c>
      <c r="E93" s="1" t="s">
        <v>196</v>
      </c>
      <c r="F93" s="2" t="s">
        <v>198</v>
      </c>
      <c r="G93" s="2" t="s">
        <v>198</v>
      </c>
      <c r="H93" s="2" t="s">
        <v>198</v>
      </c>
    </row>
    <row r="94" spans="1:8" x14ac:dyDescent="0.3">
      <c r="A94" s="1" t="s">
        <v>186</v>
      </c>
      <c r="B94" s="1" t="s">
        <v>187</v>
      </c>
      <c r="C94" s="1" t="str">
        <f>VLOOKUP(Table2[[#This Row],[DB Schema]],'[1]DB Schema'!$Q:$R,2,FALSE)</f>
        <v>employee_checklist</v>
      </c>
      <c r="D94" s="1" t="s">
        <v>198</v>
      </c>
      <c r="E94" s="1" t="s">
        <v>196</v>
      </c>
      <c r="F94" s="2" t="s">
        <v>198</v>
      </c>
      <c r="G94" s="2" t="s">
        <v>198</v>
      </c>
      <c r="H94" s="2" t="s">
        <v>198</v>
      </c>
    </row>
    <row r="95" spans="1:8" x14ac:dyDescent="0.3">
      <c r="A95" s="1" t="s">
        <v>188</v>
      </c>
      <c r="B95" s="1" t="s">
        <v>189</v>
      </c>
      <c r="C95" s="1" t="str">
        <f>VLOOKUP(Table2[[#This Row],[DB Schema]],'[1]DB Schema'!$Q:$R,2,FALSE)</f>
        <v>employee_checklist</v>
      </c>
      <c r="D95" s="1" t="s">
        <v>198</v>
      </c>
      <c r="E95" s="1" t="s">
        <v>196</v>
      </c>
      <c r="F95" s="2" t="s">
        <v>198</v>
      </c>
      <c r="G95" s="2" t="s">
        <v>198</v>
      </c>
      <c r="H95" s="2" t="s">
        <v>198</v>
      </c>
    </row>
    <row r="96" spans="1:8" x14ac:dyDescent="0.3">
      <c r="A96" s="1" t="s">
        <v>190</v>
      </c>
      <c r="B96" s="1" t="s">
        <v>191</v>
      </c>
      <c r="C96" s="1" t="str">
        <f>VLOOKUP(Table2[[#This Row],[DB Schema]],'[1]DB Schema'!$Q:$R,2,FALSE)</f>
        <v>employee_checklist</v>
      </c>
      <c r="D96" s="1" t="s">
        <v>198</v>
      </c>
      <c r="E96" s="1" t="s">
        <v>196</v>
      </c>
      <c r="F96" s="2" t="s">
        <v>198</v>
      </c>
      <c r="G96" s="2" t="s">
        <v>198</v>
      </c>
      <c r="H96" s="2" t="s">
        <v>198</v>
      </c>
    </row>
    <row r="97" spans="1:8" x14ac:dyDescent="0.3">
      <c r="A97" s="3" t="s">
        <v>192</v>
      </c>
      <c r="B97" s="3" t="s">
        <v>193</v>
      </c>
      <c r="C97" s="1" t="str">
        <f>VLOOKUP(Table2[[#This Row],[DB Schema]],'[1]DB Schema'!$Q:$R,2,FALSE)</f>
        <v>employee_checklist</v>
      </c>
      <c r="D97" s="1" t="s">
        <v>198</v>
      </c>
      <c r="E97" s="1" t="s">
        <v>196</v>
      </c>
      <c r="F97" s="4" t="s">
        <v>198</v>
      </c>
      <c r="G97" s="4" t="s">
        <v>198</v>
      </c>
      <c r="H97" s="4" t="s">
        <v>198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3f5a2-2bd0-47d7-88a1-ba96d283619f" xsi:nil="true"/>
    <lcf76f155ced4ddcb4097134ff3c332f xmlns="0b878551-6eef-49a4-a409-0cbd8a1e6d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5F233A89D10489A63A5C0995E4C93" ma:contentTypeVersion="13" ma:contentTypeDescription="Create a new document." ma:contentTypeScope="" ma:versionID="7b6feb04c113ee6f55ae3eeb387836f0">
  <xsd:schema xmlns:xsd="http://www.w3.org/2001/XMLSchema" xmlns:xs="http://www.w3.org/2001/XMLSchema" xmlns:p="http://schemas.microsoft.com/office/2006/metadata/properties" xmlns:ns2="0b878551-6eef-49a4-a409-0cbd8a1e6dc2" xmlns:ns3="48b3f5a2-2bd0-47d7-88a1-ba96d283619f" targetNamespace="http://schemas.microsoft.com/office/2006/metadata/properties" ma:root="true" ma:fieldsID="07c59ccda7d2dfecda5380b340126a30" ns2:_="" ns3:_="">
    <xsd:import namespace="0b878551-6eef-49a4-a409-0cbd8a1e6dc2"/>
    <xsd:import namespace="48b3f5a2-2bd0-47d7-88a1-ba96d283619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78551-6eef-49a4-a409-0cbd8a1e6d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3f5a2-2bd0-47d7-88a1-ba96d283619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3ab26b-54fd-4a1d-9640-6a52c4fd192e}" ma:internalName="TaxCatchAll" ma:showField="CatchAllData" ma:web="48b3f5a2-2bd0-47d7-88a1-ba96d28361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3078E-C783-42B0-821C-FC88B4064785}">
  <ds:schemaRefs>
    <ds:schemaRef ds:uri="http://schemas.microsoft.com/office/2006/metadata/properties"/>
    <ds:schemaRef ds:uri="http://schemas.microsoft.com/office/infopath/2007/PartnerControls"/>
    <ds:schemaRef ds:uri="48b3f5a2-2bd0-47d7-88a1-ba96d283619f"/>
    <ds:schemaRef ds:uri="0b878551-6eef-49a4-a409-0cbd8a1e6dc2"/>
  </ds:schemaRefs>
</ds:datastoreItem>
</file>

<file path=customXml/itemProps2.xml><?xml version="1.0" encoding="utf-8"?>
<ds:datastoreItem xmlns:ds="http://schemas.openxmlformats.org/officeDocument/2006/customXml" ds:itemID="{70A3BC5B-2ED2-43BC-B923-D7066F7B5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78551-6eef-49a4-a409-0cbd8a1e6dc2"/>
    <ds:schemaRef ds:uri="48b3f5a2-2bd0-47d7-88a1-ba96d28361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422A9E-35FC-4196-978F-7650C1949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Widji Santoso [MTI]</dc:creator>
  <cp:lastModifiedBy>Widji Santoso [MTI]</cp:lastModifiedBy>
  <dcterms:created xsi:type="dcterms:W3CDTF">2025-12-08T01:57:33Z</dcterms:created>
  <dcterms:modified xsi:type="dcterms:W3CDTF">2025-12-23T03:22:58Z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0x010100C8F5F233A89D10489A63A5C0995E4C93</vt:lpwstr>
  </property>
</Properties>
</file>