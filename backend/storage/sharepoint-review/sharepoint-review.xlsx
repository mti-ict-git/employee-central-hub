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merdekabattery-my.sharepoint.com/personal/indah_ayudita_merdekabattery_com/Documents/AI Development/Compensation &amp; Benefit/"/>
    </mc:Choice>
  </mc:AlternateContent>
  <xr:revisionPtr revIDLastSave="0" documentId="8_{CEC1E55E-C708-4EBB-8AA2-5253228BF778}" xr6:coauthVersionLast="47" xr6:coauthVersionMax="47" xr10:uidLastSave="{00000000-0000-0000-0000-000000000000}"/>
  <bookViews>
    <workbookView xWindow="-108" yWindow="-108" windowWidth="23256" windowHeight="12456" xr2:uid="{357002A7-3E94-410B-807A-3650F3620CBF}"/>
  </bookViews>
  <sheets>
    <sheet name="Active Empl (IND)" sheetId="1" r:id="rId1"/>
    <sheet name="Non Active (IND)" sheetId="6" r:id="rId2"/>
    <sheet name="Active Empl (CHN)" sheetId="3" r:id="rId3"/>
    <sheet name="Non Active (CHN)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7" i="1" l="1"/>
  <c r="J27" i="1"/>
  <c r="AL26" i="1"/>
  <c r="J26" i="1"/>
  <c r="AL25" i="1"/>
  <c r="J25" i="1"/>
  <c r="AL24" i="1"/>
  <c r="J24" i="1"/>
  <c r="AL23" i="1"/>
  <c r="J23" i="1"/>
  <c r="AL22" i="1"/>
  <c r="J22" i="1"/>
  <c r="AL21" i="1"/>
  <c r="J21" i="1"/>
  <c r="AL20" i="1"/>
  <c r="J20" i="1"/>
  <c r="AL19" i="1"/>
  <c r="J19" i="1"/>
  <c r="AL18" i="1"/>
  <c r="J18" i="1"/>
  <c r="AB18" i="5"/>
  <c r="I18" i="5"/>
  <c r="C1" i="5"/>
  <c r="C1" i="3"/>
  <c r="D1" i="6"/>
  <c r="D1" i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AL6" i="1"/>
  <c r="AL7" i="1"/>
  <c r="AL8" i="1"/>
  <c r="AL9" i="1"/>
  <c r="AL10" i="1"/>
  <c r="AL11" i="1"/>
  <c r="AL12" i="1"/>
  <c r="AL13" i="1"/>
  <c r="AL14" i="1"/>
  <c r="AL15" i="1"/>
  <c r="AL16" i="1"/>
  <c r="AL17" i="1"/>
  <c r="J4" i="1"/>
  <c r="AL5" i="1"/>
  <c r="AL4" i="1"/>
  <c r="J4" i="6"/>
  <c r="AL4" i="6"/>
  <c r="I4" i="3"/>
  <c r="AB4" i="3"/>
  <c r="AB4" i="5"/>
  <c r="I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tc={45F70D43-F965-4BD3-9B8B-0B8D5E153D6D}</author>
    <author>tc={8BCA7583-10B5-4618-B8A5-E39265D02B59}</author>
  </authors>
  <commentList>
    <comment ref="AF3" authorId="0" shapeId="0" xr:uid="{45F70D43-F965-4BD3-9B8B-0B8D5E153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H3" authorId="1" shapeId="0" xr:uid="{8BCA7583-10B5-4618-B8A5-E39265D02B59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tc={6BFE8D54-4568-4ADA-A061-D190508F549F}</author>
    <author>tc={C00C5D43-BB1C-4D70-BA1F-B7788EAE39AE}</author>
  </authors>
  <commentList>
    <comment ref="AF3" authorId="0" shapeId="0" xr:uid="{6BFE8D54-4568-4ADA-A061-D190508F54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H3" authorId="1" shapeId="0" xr:uid="{C00C5D43-BB1C-4D70-BA1F-B7788EAE39AE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<sst xmlns="http://schemas.openxmlformats.org/spreadsheetml/2006/main" count="639" uniqueCount="118">
  <si>
    <t>Insurance (Endorsment)</t>
  </si>
  <si>
    <t>Insurance Card Owlexa</t>
  </si>
  <si>
    <t>Insurance Card FPG</t>
  </si>
  <si>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</si>
  <si>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</si>
  <si>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</si>
  <si>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</si>
  <si>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</si>
  <si>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</si>
  <si>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</si>
  <si>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</si>
  <si>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</si>
  <si>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Spouse Name</t>
  </si>
  <si>
    <t>Child Name 1</t>
  </si>
  <si>
    <t>Child Name 2</t>
  </si>
  <si>
    <t>Child Name 3</t>
  </si>
  <si>
    <t>Religion</t>
  </si>
  <si>
    <t>Nationality</t>
  </si>
  <si>
    <t>Blood Type</t>
  </si>
  <si>
    <t>Mobile Phone</t>
  </si>
  <si>
    <t>Emergency Contact Name</t>
  </si>
  <si>
    <t>Emergency Contact Phone</t>
  </si>
  <si>
    <t>Email</t>
  </si>
  <si>
    <t>Kartu Keluarga No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</si>
  <si>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</si>
  <si>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</si>
  <si>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</si>
  <si>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</si>
  <si>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</si>
  <si>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</si>
  <si>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</si>
  <si>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</si>
  <si>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</si>
  <si>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</si>
  <si>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</si>
  <si>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</si>
  <si>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</si>
  <si>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</si>
  <si>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</si>
  <si>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</si>
  <si>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</si>
  <si>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</si>
  <si>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</si>
  <si>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</si>
  <si>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Title</t>
  </si>
  <si>
    <t>Grade</t>
  </si>
  <si>
    <t>Position Grade</t>
  </si>
  <si>
    <t>Group Job Title</t>
  </si>
  <si>
    <t>Bank Name</t>
  </si>
  <si>
    <t>Account Name</t>
  </si>
  <si>
    <t>Account No</t>
  </si>
  <si>
    <t>NPWP</t>
  </si>
  <si>
    <t>BPJS TK No</t>
  </si>
  <si>
    <t>BPJS KES No</t>
  </si>
  <si>
    <t>STATUS BPJS Kesehatan</t>
  </si>
  <si>
    <t>Travel In</t>
  </si>
  <si>
    <t>Travel Out</t>
  </si>
  <si>
    <t>V</t>
  </si>
  <si>
    <t>MTI001</t>
  </si>
  <si>
    <t>Emp 1</t>
  </si>
  <si>
    <t>Supply Chain Management</t>
  </si>
  <si>
    <t>MTI002</t>
  </si>
  <si>
    <t>Emp 2</t>
  </si>
  <si>
    <t>Pyrite Plant</t>
  </si>
  <si>
    <t>MTI003</t>
  </si>
  <si>
    <t>Emp 3</t>
  </si>
  <si>
    <t>Human Resources</t>
  </si>
  <si>
    <t>MTI004</t>
  </si>
  <si>
    <t>Emp 4</t>
  </si>
  <si>
    <t>Maintenance</t>
  </si>
  <si>
    <t>MTI005</t>
  </si>
  <si>
    <t>Emp 5</t>
  </si>
  <si>
    <t>Management</t>
  </si>
  <si>
    <t>MTI006</t>
  </si>
  <si>
    <t>Emp 6</t>
  </si>
  <si>
    <t>Occupational Health and Safety</t>
  </si>
  <si>
    <t>MTI007</t>
  </si>
  <si>
    <t>Emp 7</t>
  </si>
  <si>
    <t>External Affair</t>
  </si>
  <si>
    <t>MTI008</t>
  </si>
  <si>
    <t>Emp 8</t>
  </si>
  <si>
    <t>Chloride Plant</t>
  </si>
  <si>
    <t>MTI009</t>
  </si>
  <si>
    <t>Emp 9</t>
  </si>
  <si>
    <t>Environment</t>
  </si>
  <si>
    <t>MTI010</t>
  </si>
  <si>
    <t>Emp 10</t>
  </si>
  <si>
    <t>Finance</t>
  </si>
  <si>
    <t>MTI011</t>
  </si>
  <si>
    <t>Emp 11</t>
  </si>
  <si>
    <t>Technical Service</t>
  </si>
  <si>
    <t>MTI012</t>
  </si>
  <si>
    <t>Emp 12</t>
  </si>
  <si>
    <t>Acid Plant</t>
  </si>
  <si>
    <t>MTI013</t>
  </si>
  <si>
    <t>Emp 13</t>
  </si>
  <si>
    <t>Copper Cathode Plant</t>
  </si>
  <si>
    <t>MTI014</t>
  </si>
  <si>
    <t>Emp 14</t>
  </si>
  <si>
    <t>General Management</t>
  </si>
  <si>
    <t>Emp 15</t>
  </si>
  <si>
    <t>Test</t>
  </si>
  <si>
    <t>Test 2</t>
  </si>
  <si>
    <t>Final</t>
  </si>
  <si>
    <t>Test 5 Jul 25</t>
  </si>
  <si>
    <t>Social Insurance No</t>
  </si>
  <si>
    <t>BPJS Kesehatan No</t>
  </si>
  <si>
    <t>Terminated Date</t>
  </si>
  <si>
    <t>Terminated Type</t>
  </si>
  <si>
    <t>Terminated Reason</t>
  </si>
  <si>
    <t>Black List MTI</t>
  </si>
  <si>
    <t>Black List IMIP</t>
  </si>
  <si>
    <t>Insurance (Card) Owlexa</t>
  </si>
  <si>
    <t>Insurance (Card) FPG</t>
  </si>
  <si>
    <t>Company Office</t>
  </si>
  <si>
    <t>Work Location</t>
  </si>
  <si>
    <t>KITAS NO</t>
  </si>
  <si>
    <t>PASSPORT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</si>
</sst>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dd\ mmm\ yyyy"/>
    <numFmt numFmtId="166" formatCode="_-* #,##0.000_-;\-* #,##0.000_-;_-* &quot;-&quot;_-;_-@_-"/>
    <numFmt numFmtId="167" formatCode="[$-13809]d\ mmm\ yyyy;@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8"/>
      <color indexed="8"/>
      <name val="Aptos Display"/>
      <family val="2"/>
      <scheme val="major"/>
    </font>
    <font>
      <b/>
      <sz val="36"/>
      <color theme="0"/>
      <name val="Arial Black"/>
      <family val="2"/>
    </font>
    <font>
      <b/>
      <sz val="36"/>
      <color indexed="8"/>
      <name val="Arial Black"/>
      <family val="2"/>
    </font>
    <font>
      <sz val="11"/>
      <color indexed="8"/>
      <name val="Aptos Display"/>
      <family val="2"/>
      <scheme val="maj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Display"/>
      <family val="2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65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66" fontId="8" fillId="0" borderId="0" xfId="1" applyNumberFormat="1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167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2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167" formatCode="[$-13809]d\ mmm\ yyyy;@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numFmt numFmtId="1" formatCode="0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167" formatCode="[$-13809]d\ mmm\ yyyy;@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numFmt numFmtId="1" formatCode="0"/>
    </dxf>
    <dxf>
      <font>
        <color auto="1"/>
      </font>
      <numFmt numFmtId="165" formatCode="dd\ mmm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rgb="FF000000"/>
          <bgColor auto="1"/>
        </patternFill>
      </fill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numFmt numFmtId="165" formatCode="dd\ mmm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209550</xdr:rowOff>
    </xdr:from>
    <xdr:to>
      <xdr:col>1</xdr:col>
      <xdr:colOff>934830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39DE0A7-05A4-41F7-92AA-78FBB241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98120"/>
          <a:ext cx="2068305" cy="470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209550</xdr:rowOff>
    </xdr:from>
    <xdr:to>
      <xdr:col>1</xdr:col>
      <xdr:colOff>934830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EBAF08B-E600-4FAC-B3D0-2BEAE3EF9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09550"/>
          <a:ext cx="2058780" cy="4586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173355</xdr:rowOff>
    </xdr:from>
    <xdr:to>
      <xdr:col>1</xdr:col>
      <xdr:colOff>854820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303B61F-D111-41A7-895A-5F0F1D2B4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2070210" cy="4738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173355</xdr:rowOff>
    </xdr:from>
    <xdr:to>
      <xdr:col>1</xdr:col>
      <xdr:colOff>854820</xdr:colOff>
      <xdr:row>0</xdr:row>
      <xdr:rowOff>668166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0758413-374C-4E56-B17A-9E8AE42BD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545"/>
          <a:ext cx="2068305" cy="4948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D5DCEBD4-2E90-4FAF-AB57-4525122E478A}" userId="S::riska.resdiansah@merdekabattery.com::52772d32-5c23-4d57-996c-6b8f6f36e1e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18C64-4B4C-4B9A-8167-9A083760A56A}" name="Employee_ID_Active" displayName="Employee_ID_Active" ref="A3:BE27" headerRowDxfId="259" dataDxfId="258" totalsRowDxfId="257">
  <autoFilter ref="A3:BE27" xr:uid="{BB318C64-4B4C-4B9A-8167-9A083760A56A}"/>
  <tableColumns count="57">
    <tableColumn id="1" xr3:uid="{7956CD15-E3E2-4E53-B805-A7EA3BEFE8C2}" name="Insurance (Endorsment)" totalsRowLabel="Total" dataDxfId="255" totalsRowDxfId="256"/>
    <tableColumn id="2" xr3:uid="{AE3A3976-D9CF-40D9-98F3-CD04B2FFA3B0}" name="Insurance Card Owlexa" dataDxfId="253" totalsRowDxfId="254"/>
    <tableColumn id="3" xr3:uid="{1D2706CD-C2DA-488C-BB20-E67432983B1C}" name="Insurance Card FPG" dataDxfId="251" totalsRowDxfId="252"/>
    <tableColumn id="4" xr3:uid="{7579C76A-BFA4-4AF8-95F2-7062C3E88A39}" name="Emp. ID" dataDxfId="249" totalsRowDxfId="250"/>
    <tableColumn id="5" xr3:uid="{2A90B22F-7E92-4EAA-A965-F1116A5CD122}" name="IMIP ID" dataDxfId="247" totalsRowDxfId="248"/>
    <tableColumn id="6" xr3:uid="{5ADA2BA2-183D-4903-81B9-AEA9846A5AF4}" name="Employee Name" dataDxfId="245" totalsRowDxfId="246"/>
    <tableColumn id="7" xr3:uid="{DF53EB95-5795-45B3-91E2-FCE85FDCB464}" name="Gender" dataDxfId="243" totalsRowDxfId="244"/>
    <tableColumn id="8" xr3:uid="{52A5BBA7-52F2-4ECD-B73F-D1A68FDEDEC4}" name="Place of Birth" dataDxfId="241" totalsRowDxfId="242"/>
    <tableColumn id="9" xr3:uid="{AA94235A-A3D4-4968-BBE4-49F673E21EE5}" name="Date of Birth" dataDxfId="239" totalsRowDxfId="240"/>
    <tableColumn id="10" xr3:uid="{7E9F1E24-8E77-4103-B7F7-D573A737E011}" name="Age" dataDxfId="238">
      <calculatedColumnFormula>(TODAY()-I4)/365</calculatedColumnFormula>
    </tableColumn>
    <tableColumn id="11" xr3:uid="{E95FD536-FC0A-44D2-9506-C245C1BE34BB}" name="Marital Status" dataDxfId="236" totalsRowDxfId="237"/>
    <tableColumn id="12" xr3:uid="{897B0F6F-C067-4D51-80AF-4B0FB4B985C9}" name="Tax Status" dataDxfId="234" totalsRowDxfId="235"/>
    <tableColumn id="13" xr3:uid="{42F17828-1C06-4BE6-9AE1-C4F06CDEBC72}" name="Spouse Name" dataDxfId="232" totalsRowDxfId="233"/>
    <tableColumn id="14" xr3:uid="{43D7CDB3-BA74-4D15-9F3E-980EA16AFAB6}" name="Child Name 1" dataDxfId="230" totalsRowDxfId="231"/>
    <tableColumn id="15" xr3:uid="{8E87421B-5CEF-4A9A-8B8C-2538C8FD17C3}" name="Child Name 2" dataDxfId="228" totalsRowDxfId="229"/>
    <tableColumn id="16" xr3:uid="{4EA1688F-8A31-4014-B154-AFD02F612A4C}" name="Child Name 3" dataDxfId="226" totalsRowDxfId="227"/>
    <tableColumn id="17" xr3:uid="{0AED8753-C71A-4080-AD93-07F9A031DF2D}" name="Religion" dataDxfId="224" totalsRowDxfId="225"/>
    <tableColumn id="18" xr3:uid="{6D73DD60-4310-44D9-9022-02E8AEEB5CB6}" name="Nationality" dataDxfId="222" totalsRowDxfId="223"/>
    <tableColumn id="19" xr3:uid="{5CA03729-6838-4E5D-9424-AD07719C6651}" name="Blood Type" dataDxfId="220" totalsRowDxfId="221"/>
    <tableColumn id="20" xr3:uid="{44D0A748-8598-41AD-B718-B7DBA545DB82}" name="Mobile Phone" dataDxfId="218" totalsRowDxfId="219"/>
    <tableColumn id="21" xr3:uid="{BCFDC527-141F-4B38-830D-4F8D32A88758}" name="Emergency Contact Name" dataDxfId="216" totalsRowDxfId="217"/>
    <tableColumn id="22" xr3:uid="{C7E2A31D-8633-44B3-8C5B-843E092F4905}" name="Emergency Contact Phone" dataDxfId="214" totalsRowDxfId="215"/>
    <tableColumn id="23" xr3:uid="{3A11CFE3-C741-4AAD-8847-C3BF1CE4D560}" name="Email" dataDxfId="212" totalsRowDxfId="213"/>
    <tableColumn id="24" xr3:uid="{6319E131-1BAC-4394-93B3-473FD0DB5EF0}" name="Kartu Keluarga No" dataDxfId="210" totalsRowDxfId="211"/>
    <tableColumn id="25" xr3:uid="{9BC9DFD7-6AE8-4698-8378-CA34FE13A0D4}" name="KTP No" dataDxfId="208" totalsRowDxfId="209"/>
    <tableColumn id="26" xr3:uid="{EA0690DE-0C60-4146-AF3F-D94EE97F482D}" name="KTP Address" dataDxfId="206" totalsRowDxfId="207"/>
    <tableColumn id="27" xr3:uid="{0D06827E-FF66-4370-AC3F-853D199BD251}" name="KTP City" dataDxfId="204" totalsRowDxfId="205"/>
    <tableColumn id="28" xr3:uid="{5C7B7D88-5AEA-4D9C-B0ED-A4B1A18AA387}" name="Poin of Hire" dataDxfId="202" totalsRowDxfId="203"/>
    <tableColumn id="29" xr3:uid="{389FB7F9-9D0D-4BB7-8BFF-A3CEB73A6551}" name="Poin of Origin" dataDxfId="200" totalsRowDxfId="201"/>
    <tableColumn id="30" xr3:uid="{F7805BE0-BD18-4876-B917-B2F23F1B53C5}" name="Education" dataDxfId="198" totalsRowDxfId="199"/>
    <tableColumn id="31" xr3:uid="{8A4C979E-ED8C-44E4-9002-06BEF9F17877}" name="Schedule Type" dataDxfId="196" totalsRowDxfId="197"/>
    <tableColumn id="32" xr3:uid="{5AB445A5-0EF5-45A3-A2B4-BA090F354863}" name="First Join Date (Merdeka Group)" dataDxfId="194" totalsRowDxfId="195"/>
    <tableColumn id="33" xr3:uid="{05A49DFB-E14F-4F27-8EFF-814DE502925E}" name="Transfer Merdeka Group" dataDxfId="192" totalsRowDxfId="193"/>
    <tableColumn id="34" xr3:uid="{AE95DACC-2B23-48B4-9E66-AD2848ACE8F0}" name="First Join Date" dataDxfId="190" totalsRowDxfId="191"/>
    <tableColumn id="35" xr3:uid="{38917400-A7C4-4781-8BA1-DE7DC432D30F}" name="Join Date" dataDxfId="188" totalsRowDxfId="189"/>
    <tableColumn id="36" xr3:uid="{6A0ED4DC-D57B-43B8-90A2-05A89F59D7E8}" name="Employment Status" dataDxfId="186" totalsRowDxfId="187"/>
    <tableColumn id="37" xr3:uid="{C47EC15D-B7F7-4602-90ED-3D4156648BA9}" name="End Contract" dataDxfId="184" totalsRowDxfId="185"/>
    <tableColumn id="38" xr3:uid="{3A63E5D5-6C54-41E8-B647-7D7D304C6FAE}" name="Years in Service" dataDxfId="182" totalsRowDxfId="183">
      <calculatedColumnFormula>DATEDIF(AH4,TODAY(),"y")&amp;"Tahun"&amp; DATEDIF(AH4,TODAY(),"YM")&amp;"Bulan" &amp; DATEDIF(AH4,TODAY(),"MD")&amp;"Hari"</calculatedColumnFormula>
    </tableColumn>
    <tableColumn id="39" xr3:uid="{555EBB97-5361-4AA6-B14C-AD1C87B3C290}" name="Branch ID" dataDxfId="180" totalsRowDxfId="181"/>
    <tableColumn id="40" xr3:uid="{D570CE58-EEC5-410C-B4D7-73FB5EC2F0A0}" name="Branch" dataDxfId="178" totalsRowDxfId="179"/>
    <tableColumn id="41" xr3:uid="{11844DDD-B4C3-4B9D-8AED-914A900FE1E4}" name="Division" dataDxfId="176" totalsRowDxfId="177"/>
    <tableColumn id="42" xr3:uid="{1F6C6907-FA21-4B32-B5F9-F4ED41B501CB}" name="Department" dataDxfId="174" totalsRowDxfId="175"/>
    <tableColumn id="43" xr3:uid="{0FB93887-0874-4102-BC74-115857486170}" name="Section" dataDxfId="172" totalsRowDxfId="173"/>
    <tableColumn id="44" xr3:uid="{F55E09F7-50E2-414B-A25C-5B3418C92921}" name="Direct Report" dataDxfId="170" totalsRowDxfId="171"/>
    <tableColumn id="45" xr3:uid="{9BD13F93-3734-4EC8-AFEF-1F7D4B604DEC}" name="Job Title" dataDxfId="168" totalsRowDxfId="169"/>
    <tableColumn id="46" xr3:uid="{421D2B15-D4EF-4C89-B00B-88B6DD3384D4}" name="Grade" dataDxfId="166" totalsRowDxfId="167"/>
    <tableColumn id="47" xr3:uid="{04F4098D-9395-4793-BB0B-1CBE9CE1222D}" name="Position Grade" dataDxfId="164" totalsRowDxfId="165"/>
    <tableColumn id="48" xr3:uid="{2A1EEC6D-C6F6-425B-B2A7-8209B7A3A7FF}" name="Group Job Title" dataDxfId="162" totalsRowDxfId="163"/>
    <tableColumn id="49" xr3:uid="{66660E43-A09A-488E-BBCC-209933219F60}" name="Bank Name" dataDxfId="160" totalsRowDxfId="161"/>
    <tableColumn id="50" xr3:uid="{3D3ABC30-B85E-4FD7-83AD-ACA0B8DC8E2F}" name="Account Name" dataDxfId="158" totalsRowDxfId="159"/>
    <tableColumn id="51" xr3:uid="{A7F9E5D4-1BCB-4991-89B8-6056A6CED109}" name="Account No" dataDxfId="156" totalsRowDxfId="157"/>
    <tableColumn id="52" xr3:uid="{66D92972-6F66-4BB2-B6F9-C0924AA2B4C4}" name="NPWP" dataDxfId="154" totalsRowDxfId="155"/>
    <tableColumn id="53" xr3:uid="{6E0E1685-531E-4E3A-93C1-87378A64CB27}" name="BPJS TK No" dataDxfId="152" totalsRowDxfId="153"/>
    <tableColumn id="54" xr3:uid="{30E7E98A-93BA-4A1A-A4DD-7E63E22BF1EB}" name="BPJS KES No" dataDxfId="150" totalsRowDxfId="151"/>
    <tableColumn id="55" xr3:uid="{D2CB3CCA-40EF-4527-815C-6DE7E7CC478A}" name="STATUS BPJS Kesehatan" dataDxfId="148" totalsRowDxfId="149"/>
    <tableColumn id="56" xr3:uid="{687A4387-F085-4E6E-88BE-97FDAB19450C}" name="Travel In" dataDxfId="146" totalsRowDxfId="147"/>
    <tableColumn id="57" xr3:uid="{5B8E7BF0-4B0C-4FF4-AAA4-B4A8BA18B82E}" name="Travel Out" totalsRowFunction="count" dataDxfId="144" totalsRowDxfId="14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1FC127-4F0D-4E92-8DA8-8F70D17D0660}" name="Employee_ID_NA" displayName="Employee_ID_NA" ref="A3:BG17" headerRowDxfId="143" dataDxfId="142" totalsRowDxfId="141">
  <autoFilter ref="A3:BG17" xr:uid="{BB318C64-4B4C-4B9A-8167-9A083760A56A}"/>
  <tableColumns count="59">
    <tableColumn id="1" xr3:uid="{C3339C5B-BE38-481C-8080-5643653C6317}" name="Insurance (Endorsment)" totalsRowLabel="Total" dataDxfId="139" totalsRowDxfId="140"/>
    <tableColumn id="2" xr3:uid="{4C0EFD32-0039-4477-A8D8-C38333545714}" name="Insurance Card Owlexa" dataDxfId="137" totalsRowDxfId="138"/>
    <tableColumn id="3" xr3:uid="{D22C0AD8-C40F-4FC3-9B30-AF2ECE57FAA2}" name="Insurance Card FPG" dataDxfId="135" totalsRowDxfId="136"/>
    <tableColumn id="4" xr3:uid="{B23E5700-141B-40D9-8594-0F9FA40D4586}" name="Emp. ID" dataDxfId="133" totalsRowDxfId="134"/>
    <tableColumn id="5" xr3:uid="{26C10867-35A6-444D-84E3-93736EBF53E7}" name="IMIP ID" dataDxfId="131" totalsRowDxfId="132"/>
    <tableColumn id="6" xr3:uid="{463482B7-B1D5-4326-88AC-C1D00654B198}" name="Employee Name" dataDxfId="129" totalsRowDxfId="130"/>
    <tableColumn id="7" xr3:uid="{C94F37B9-665E-44EE-B510-2D6853DB0DA3}" name="Gender" dataDxfId="127" totalsRowDxfId="128"/>
    <tableColumn id="8" xr3:uid="{1C9AA47A-41EA-4813-82AD-CB5ABFD3F1C9}" name="Place of Birth" dataDxfId="125" totalsRowDxfId="126"/>
    <tableColumn id="9" xr3:uid="{45E17523-E459-4D1E-963A-45DADE3A47E2}" name="Date of Birth" dataDxfId="123" totalsRowDxfId="124"/>
    <tableColumn id="10" xr3:uid="{1634D4F8-2C73-4E21-B5A7-0D5F4F891516}" name="Age" dataDxfId="121" totalsRowDxfId="122">
      <calculatedColumnFormula>(TODAY()-I4)/365</calculatedColumnFormula>
    </tableColumn>
    <tableColumn id="11" xr3:uid="{4FDC6DF7-F33C-482D-A61F-A15AA7824F82}" name="Marital Status" dataDxfId="119" totalsRowDxfId="120"/>
    <tableColumn id="12" xr3:uid="{190B40F9-0AEA-4EDD-A158-7049498CEDEB}" name="Tax Status" dataDxfId="117" totalsRowDxfId="118"/>
    <tableColumn id="13" xr3:uid="{526F3945-0461-430F-A022-E883A9398078}" name="Spouse Name" dataDxfId="115" totalsRowDxfId="116"/>
    <tableColumn id="14" xr3:uid="{61F73FED-74A1-45A7-8D97-20E8E3C63378}" name="Child Name 1" dataDxfId="113" totalsRowDxfId="114"/>
    <tableColumn id="15" xr3:uid="{2BD39AAD-98A4-4707-9F2C-2842B3AFC0E3}" name="Child Name 2" dataDxfId="111" totalsRowDxfId="112"/>
    <tableColumn id="16" xr3:uid="{85072B8A-631C-428D-BC2C-6F75F4B62EFB}" name="Child Name 3" dataDxfId="109" totalsRowDxfId="110"/>
    <tableColumn id="17" xr3:uid="{EB29316C-C316-426D-86AA-0A3B0AF92DDD}" name="Religion" dataDxfId="107" totalsRowDxfId="108"/>
    <tableColumn id="18" xr3:uid="{BE07DAA0-6ABB-44CA-925C-A3755A5EEA0D}" name="Nationality" dataDxfId="105" totalsRowDxfId="106"/>
    <tableColumn id="19" xr3:uid="{9F1D74D4-4B22-40FA-964D-3545D06567E9}" name="Blood Type" dataDxfId="103" totalsRowDxfId="104"/>
    <tableColumn id="20" xr3:uid="{29D8CBD7-26A3-4C65-B6CD-5ADE0D458DC5}" name="Mobile Phone" dataDxfId="101" totalsRowDxfId="102"/>
    <tableColumn id="21" xr3:uid="{0863C103-AEC9-4794-AD89-05403DA43BE5}" name="Emergency Contact Name" dataDxfId="99" totalsRowDxfId="100"/>
    <tableColumn id="22" xr3:uid="{33442A9A-310C-41F0-A766-88FA55FDD289}" name="Emergency Contact Phone" dataDxfId="97" totalsRowDxfId="98"/>
    <tableColumn id="23" xr3:uid="{A2D59069-8C7D-497F-A657-92CCFE1CDD37}" name="Email" dataDxfId="95" totalsRowDxfId="96"/>
    <tableColumn id="24" xr3:uid="{246D31EC-81B6-4088-BEBB-6DB6B42A9034}" name="Kartu Keluarga No" dataDxfId="93" totalsRowDxfId="94"/>
    <tableColumn id="25" xr3:uid="{79D7B370-6FE2-462F-8859-29F6DDD6EFD6}" name="KTP No" dataDxfId="91" totalsRowDxfId="92"/>
    <tableColumn id="26" xr3:uid="{7322ACA4-2177-43CE-8201-D3A6F0B1803F}" name="KTP Address" dataDxfId="89" totalsRowDxfId="90"/>
    <tableColumn id="27" xr3:uid="{0C365942-EDCF-4306-8725-27A4A96F4F31}" name="KTP City" dataDxfId="87" totalsRowDxfId="88"/>
    <tableColumn id="28" xr3:uid="{F93CB1F8-C6C8-4076-8A54-255B87685DB5}" name="Poin of Hire" dataDxfId="85" totalsRowDxfId="86"/>
    <tableColumn id="29" xr3:uid="{48FE717E-07A6-493E-A3EF-E7B37E791F10}" name="Poin of Origin" dataDxfId="83" totalsRowDxfId="84"/>
    <tableColumn id="30" xr3:uid="{BD36CFF4-752B-42AF-8D6D-5078A1637DB4}" name="Education" dataDxfId="81" totalsRowDxfId="82"/>
    <tableColumn id="31" xr3:uid="{C9846B70-1ACD-411B-A36A-6AC1B059B7BC}" name="Schedule Type" dataDxfId="79" totalsRowDxfId="80"/>
    <tableColumn id="32" xr3:uid="{3F04C9FA-7F3A-45BA-93D5-4181AF4C5EAC}" name="First Join Date (Merdeka Group)" dataDxfId="78"/>
    <tableColumn id="33" xr3:uid="{5EC9FE55-C601-4F8C-B821-B21FC6714F24}" name="Transfer Merdeka Group" dataDxfId="76" totalsRowDxfId="77"/>
    <tableColumn id="34" xr3:uid="{CDBBC9DC-1D52-45BB-AB92-0B2EA2717057}" name="First Join Date" dataDxfId="74" totalsRowDxfId="75"/>
    <tableColumn id="35" xr3:uid="{EE8C7D0A-1DD3-4A32-93AE-C4BBE6F664F9}" name="Join Date" dataDxfId="72" totalsRowDxfId="73"/>
    <tableColumn id="36" xr3:uid="{D3404B7A-D00A-45E3-A4DE-4B40922ADDAA}" name="Employment Status" dataDxfId="70" totalsRowDxfId="71"/>
    <tableColumn id="37" xr3:uid="{833F61D0-95B8-409E-A4A5-CDC584E1760C}" name="End Contract" dataDxfId="68" totalsRowDxfId="69"/>
    <tableColumn id="38" xr3:uid="{C6338921-1A36-4069-8579-5790DAC504C8}" name="Years in Service" dataDxfId="66" totalsRowDxfId="67">
      <calculatedColumnFormula>DATEDIF(AH4,TODAY(),"y")&amp;"Tahun"&amp; DATEDIF(AH4,TODAY(),"YM")&amp;"Bulan" &amp; DATEDIF(AH4,TODAY(),"MD")&amp;"Hari"</calculatedColumnFormula>
    </tableColumn>
    <tableColumn id="39" xr3:uid="{27FBCFD8-D89A-4390-8483-21140C25FF19}" name="Branch ID" dataDxfId="64" totalsRowDxfId="65"/>
    <tableColumn id="40" xr3:uid="{2287A243-8F1A-46AB-AA2F-50879C1D5ADC}" name="Branch" dataDxfId="62" totalsRowDxfId="63"/>
    <tableColumn id="41" xr3:uid="{0C9582D1-C386-454A-BA28-7A62AE18175C}" name="Division" dataDxfId="60" totalsRowDxfId="61"/>
    <tableColumn id="42" xr3:uid="{BAF9CED3-DCC7-44C3-B448-F5EAA7D61C10}" name="Department" dataDxfId="58" totalsRowDxfId="59"/>
    <tableColumn id="43" xr3:uid="{85B0D9BC-3F51-4411-ABE8-C4664DA613E9}" name="Section" dataDxfId="56" totalsRowDxfId="57"/>
    <tableColumn id="44" xr3:uid="{AEA509AC-8074-4280-A7B7-548C8FF4C885}" name="Direct Report" dataDxfId="54" totalsRowDxfId="55"/>
    <tableColumn id="45" xr3:uid="{1B1B677D-B852-4229-9E5C-5268D3F0E2D7}" name="Job Title" dataDxfId="52" totalsRowDxfId="53"/>
    <tableColumn id="46" xr3:uid="{36EAD40E-4875-40A2-BF91-C48374CE1F92}" name="Grade" dataDxfId="50" totalsRowDxfId="51"/>
    <tableColumn id="47" xr3:uid="{5EB28F71-5990-4298-90A1-DDEAE7533255}" name="Position Grade" dataDxfId="48" totalsRowDxfId="49"/>
    <tableColumn id="48" xr3:uid="{E52F80FA-7B6F-419D-B7C3-28E5522023EC}" name="Group Job Title" dataDxfId="46" totalsRowDxfId="47"/>
    <tableColumn id="49" xr3:uid="{6A539888-1C2B-40FA-8EB3-43A23055EC41}" name="Bank Name" dataDxfId="44" totalsRowDxfId="45"/>
    <tableColumn id="50" xr3:uid="{152DEA7C-3417-45DC-A388-C12194B69810}" name="Account Name" dataDxfId="42" totalsRowDxfId="43"/>
    <tableColumn id="51" xr3:uid="{725E5D02-BBFE-4BA5-970C-42140F0A0BD9}" name="Account No" dataDxfId="40" totalsRowDxfId="41"/>
    <tableColumn id="52" xr3:uid="{D499A6C7-9991-417D-85E7-2B70D8568A49}" name="NPWP" dataDxfId="38" totalsRowDxfId="39"/>
    <tableColumn id="53" xr3:uid="{2E44581D-669D-46AA-99C4-BC5953DD64D6}" name="Social Insurance No" dataDxfId="36" totalsRowDxfId="37"/>
    <tableColumn id="54" xr3:uid="{2004C7AD-7C3F-4B58-BFF6-7C6CABD24A25}" name="BPJS Kesehatan No" dataDxfId="34" totalsRowDxfId="35"/>
    <tableColumn id="55" xr3:uid="{EC17F797-AB97-4993-AFBA-88BFB68B3C37}" name="Terminated Date" dataDxfId="32" totalsRowDxfId="33"/>
    <tableColumn id="56" xr3:uid="{659D9A9A-C136-42B1-BE0D-C8C5B051F9B4}" name="Terminated Type" dataDxfId="30" totalsRowDxfId="31"/>
    <tableColumn id="57" xr3:uid="{B96DAA95-9840-49BD-948C-AF35D33521B7}" name="Terminated Reason" totalsRowFunction="count" dataDxfId="28" totalsRowDxfId="29"/>
    <tableColumn id="58" xr3:uid="{3C0E6A14-0C8C-4195-B562-D5BA999D98CC}" name="Black List MTI" dataDxfId="26" totalsRowDxfId="27"/>
    <tableColumn id="59" xr3:uid="{545B4458-8012-49F2-9CC5-8535736D23F5}" name="Black List IMIP" dataDxfId="24" totalsRowDxfId="2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923888-7F90-4497-8CCD-286F700CADA1}" name="Employee_CH_Act" displayName="Employee_CH_Act" ref="A3:AS17" totalsRowShown="0" headerRowDxfId="23">
  <autoFilter ref="A3:AS17" xr:uid="{BB923888-7F90-4497-8CCD-286F700CADA1}"/>
  <tableColumns count="45">
    <tableColumn id="1" xr3:uid="{A924F2C9-32CB-4F0D-82F8-4F4833B2D680}" name="Insurance (Endorsment)" dataDxfId="22"/>
    <tableColumn id="2" xr3:uid="{B86B19DC-5847-4CDB-9005-53CC6A705F28}" name="Insurance (Card) Owlexa" dataDxfId="21"/>
    <tableColumn id="3" xr3:uid="{903FE70B-86B7-4789-979C-5F44FBB04ED9}" name="Insurance (Card) FPG" dataDxfId="20"/>
    <tableColumn id="4" xr3:uid="{5103321A-89C7-4FD6-96C3-D1F26422E014}" name="Emp. ID" dataDxfId="19"/>
    <tableColumn id="5" xr3:uid="{9DD95C61-E665-433D-A93C-5CD1F0606530}" name="Employee Name" dataDxfId="18"/>
    <tableColumn id="6" xr3:uid="{3F3DC48F-D6DA-4596-B1CC-5CD935B53FFF}" name="Gender" dataDxfId="17"/>
    <tableColumn id="7" xr3:uid="{1351AE33-4CD6-4F96-91ED-4B75923EAA0C}" name="Place of Birth"/>
    <tableColumn id="8" xr3:uid="{6F91425D-0409-42B1-BEDC-E21C47808D2D}" name="Date of Birth" dataDxfId="16"/>
    <tableColumn id="9" xr3:uid="{C1AF386C-81DB-499E-859B-7600D967C6A3}" name="Age" dataDxfId="15">
      <calculatedColumnFormula>(TODAY()-H4)/365</calculatedColumnFormula>
    </tableColumn>
    <tableColumn id="10" xr3:uid="{D6E88E2E-BD4D-48C7-A171-6BE35F958D80}" name="Marital Status"/>
    <tableColumn id="11" xr3:uid="{685CE23E-DE28-4E30-861B-CE55FAD32AF5}" name="Tax Status"/>
    <tableColumn id="12" xr3:uid="{51C9A635-B93D-425A-AC81-45744490DF93}" name="Religion"/>
    <tableColumn id="13" xr3:uid="{8B75359B-DF40-4DF5-90D2-0DA92EBBE16D}" name="Nationality"/>
    <tableColumn id="14" xr3:uid="{536AC3A8-99A0-49A1-B40F-70CA0C8F0401}" name="Blood Type"/>
    <tableColumn id="15" xr3:uid="{EA4FCD6E-BB7F-4D15-AA38-1100C4097FC1}" name="Mobile Phone"/>
    <tableColumn id="16" xr3:uid="{C3DCE7C3-E2C9-4AF8-8481-D45C2EC3F5CB}" name="Email"/>
    <tableColumn id="17" xr3:uid="{02CDC173-E9A1-4AC6-A65C-8CCDAD4344E1}" name="KTP No"/>
    <tableColumn id="18" xr3:uid="{96B1793A-ADB1-43F7-892C-A339C3D6ABA1}" name="KTP Address"/>
    <tableColumn id="19" xr3:uid="{082FDFDA-DB9C-4B7D-B35E-4765BC071260}" name="KTP City"/>
    <tableColumn id="20" xr3:uid="{3CFDE42A-6A05-4446-8260-5EE096B04A7C}" name="Poin of Hire"/>
    <tableColumn id="21" xr3:uid="{B96BE801-E986-4B79-868E-B0810CC5005D}" name="Poin of Origin"/>
    <tableColumn id="22" xr3:uid="{1E2256C5-5180-4141-A2D3-1DE7F0546DAA}" name="Education"/>
    <tableColumn id="45" xr3:uid="{D8672402-B1C4-4887-BD86-97A2322E5228}" name="Schedule Type"/>
    <tableColumn id="23" xr3:uid="{522DFBD5-B7DC-4B4F-A615-3B162713C077}" name="First Join Date" dataDxfId="14"/>
    <tableColumn id="24" xr3:uid="{12E2F471-4ECE-41B2-910A-ACB3FC7758BB}" name="Join Date" dataDxfId="13"/>
    <tableColumn id="25" xr3:uid="{F8A4C492-15DE-4E2B-9F05-607E1581DD6D}" name="Employment Status"/>
    <tableColumn id="26" xr3:uid="{AF533D8A-9123-4F1D-84D1-08F2190AF052}" name="End Contract"/>
    <tableColumn id="27" xr3:uid="{CA682C18-AFDF-46A6-89CF-75FF1232B3E0}" name="Years in Service">
      <calculatedColumnFormula>DATEDIF(X4,TODAY(),"y")&amp;"Tahun"&amp; DATEDIF(X4,TODAY(),"YM")&amp;"Bulan" &amp; DATEDIF(X4,TODAY(),"MD")&amp;"Hari"</calculatedColumnFormula>
    </tableColumn>
    <tableColumn id="28" xr3:uid="{9FB09D13-B01C-423D-8B62-DED8FD9FD461}" name="Company Office"/>
    <tableColumn id="29" xr3:uid="{CF3B6701-C3C1-402F-A789-059D816651D9}" name="Work Location"/>
    <tableColumn id="30" xr3:uid="{D021CBB2-46E1-4992-8B11-1F13DB0B0A39}" name="Division"/>
    <tableColumn id="31" xr3:uid="{5FA79197-BA0B-4E8D-A00D-6CEE2B2A867C}" name="Department" dataDxfId="12"/>
    <tableColumn id="32" xr3:uid="{5B7736F7-9D8C-4323-88CE-1EB24BD020A2}" name="Section"/>
    <tableColumn id="33" xr3:uid="{6763FCCF-2DDD-4476-B199-C9A30751E22C}" name="Direct Report"/>
    <tableColumn id="34" xr3:uid="{0DF30033-189B-4802-813D-C87DBDAC6E02}" name="Job Title"/>
    <tableColumn id="35" xr3:uid="{2B795230-2828-4418-AB0D-6B3EDE832DE8}" name="Grade"/>
    <tableColumn id="36" xr3:uid="{BF2694CF-3F96-48E0-B142-DE35FA043807}" name="Position Grade"/>
    <tableColumn id="37" xr3:uid="{1A62AD53-6B75-42BF-A593-47868A83A640}" name="NPWP"/>
    <tableColumn id="38" xr3:uid="{5FCBACFA-2CAE-4CCD-8BE8-D5B96FC8528A}" name="BPJS TK No"/>
    <tableColumn id="39" xr3:uid="{F584BACD-5E19-4701-939D-57E2B2C9F021}" name="BPJS KES No"/>
    <tableColumn id="40" xr3:uid="{A33FF128-BDD4-460B-B358-926A79B5E355}" name="STATUS BPJS Kesehatan"/>
    <tableColumn id="41" xr3:uid="{076BA058-B93B-4274-9EB4-78B341465B1E}" name="KITAS NO"/>
    <tableColumn id="42" xr3:uid="{5B436B87-E82B-4CB9-9C6D-411846250466}" name="PASSPORT ID"/>
    <tableColumn id="43" xr3:uid="{EC0053F0-CA2B-40FD-A91E-F10925BB26E2}" name="Travel In"/>
    <tableColumn id="44" xr3:uid="{52543BBA-A0CE-4CEF-96DF-5F7CB770FF61}" name="Travel Ou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9024AE-87E5-4624-97F4-D9A7C28F6BDC}" name="Employee_CH_NA" displayName="Employee_CH_NA" ref="A3:AU18" totalsRowShown="0" headerRowDxfId="11">
  <autoFilter ref="A3:AU18" xr:uid="{BB923888-7F90-4497-8CCD-286F700CADA1}"/>
  <tableColumns count="47">
    <tableColumn id="1" xr3:uid="{C5591B7A-B499-4590-897C-2BE458B4CCDB}" name="Insurance (Endorsment)" dataDxfId="10"/>
    <tableColumn id="2" xr3:uid="{86EB11E3-411A-431A-88FB-A54776B0E3A3}" name="Insurance (Card) Owlexa" dataDxfId="9"/>
    <tableColumn id="3" xr3:uid="{CB937C30-5C19-4628-80DF-35CAD6E81CCC}" name="Insurance (Card) FPG" dataDxfId="8"/>
    <tableColumn id="4" xr3:uid="{B8671C6E-0EE7-4D2A-A17C-7C958132B6CB}" name="Emp. ID" dataDxfId="7"/>
    <tableColumn id="5" xr3:uid="{F96149B2-E365-4649-A6FA-16B3A3F65EFA}" name="Employee Name" dataDxfId="6"/>
    <tableColumn id="6" xr3:uid="{828D0712-47D6-4D08-9E0C-09971DA78CBD}" name="Gender" dataDxfId="5"/>
    <tableColumn id="7" xr3:uid="{39052A66-20F8-41C2-A34E-B39CD6D92B24}" name="Place of Birth"/>
    <tableColumn id="8" xr3:uid="{5918A6F2-54B9-4D8F-A54D-6BD77D7425D0}" name="Date of Birth" dataDxfId="4"/>
    <tableColumn id="9" xr3:uid="{DE653F0B-A065-4799-BB97-55757B5A845C}" name="Age" dataDxfId="3">
      <calculatedColumnFormula>(TODAY()-H4)/365</calculatedColumnFormula>
    </tableColumn>
    <tableColumn id="10" xr3:uid="{0E1B42F0-2D35-45D3-A0A4-121C13ACF278}" name="Marital Status"/>
    <tableColumn id="11" xr3:uid="{AD528B11-CBFF-4FB2-ADF9-4F806408D869}" name="Tax Status"/>
    <tableColumn id="12" xr3:uid="{E4FB0E6A-40B4-4D29-B0F9-91CB252251A7}" name="Religion"/>
    <tableColumn id="13" xr3:uid="{0A47D30C-5292-4648-98A7-0BD1E0456DEF}" name="Nationality"/>
    <tableColumn id="14" xr3:uid="{361138E4-8EF4-462F-B17D-15ACABB8C793}" name="Blood Type"/>
    <tableColumn id="15" xr3:uid="{D1207916-3CE0-4EA7-81F2-53E05B8ADD11}" name="Mobile Phone"/>
    <tableColumn id="16" xr3:uid="{D4969BC4-0ECB-4EE3-8FE1-596F9CEF14BF}" name="Email"/>
    <tableColumn id="17" xr3:uid="{EC22BFA6-B8EC-46A1-AC5B-1F610370D58E}" name="KTP No"/>
    <tableColumn id="18" xr3:uid="{70FC28A5-53F1-4FCF-A296-828B87EADC95}" name="KTP Address"/>
    <tableColumn id="19" xr3:uid="{D60F26C9-30EB-4F0C-A728-9A0D557A5DA3}" name="KTP City"/>
    <tableColumn id="20" xr3:uid="{5EF25158-D366-41DE-8B05-973EBD2885F8}" name="Poin of Hire"/>
    <tableColumn id="21" xr3:uid="{0FF77393-3FB9-4BA0-A0E8-275833137BCB}" name="Poin of Origin"/>
    <tableColumn id="22" xr3:uid="{4581D9C5-6552-46B3-AEAE-D206BF0869F8}" name="Education"/>
    <tableColumn id="47" xr3:uid="{958DF6F4-07A8-4786-9E52-0847A9797565}" name="Schedule Type"/>
    <tableColumn id="23" xr3:uid="{53061BD4-9232-4138-8E4F-7FFE2C277B21}" name="First Join Date" dataDxfId="2"/>
    <tableColumn id="24" xr3:uid="{D54391C6-2F9E-45E0-B862-CD46916825D0}" name="Join Date" dataDxfId="1"/>
    <tableColumn id="25" xr3:uid="{420F319A-2FDC-42DE-8314-8CCF0EE3DD29}" name="Employment Status"/>
    <tableColumn id="26" xr3:uid="{BDC8C9AE-44DF-4406-8246-F441CE6169D5}" name="End Contract"/>
    <tableColumn id="27" xr3:uid="{3F8D141B-D252-44F3-9AAE-715EEAD51FC7}" name="Years in Service">
      <calculatedColumnFormula>DATEDIF(X4,TODAY(),"y")&amp;"Tahun"&amp; DATEDIF(X4,TODAY(),"YM")&amp;"Bulan" &amp; DATEDIF(X4,TODAY(),"MD")&amp;"Hari"</calculatedColumnFormula>
    </tableColumn>
    <tableColumn id="28" xr3:uid="{8C2202F0-F194-4B58-86FF-12E0D4EB270E}" name="Company Office"/>
    <tableColumn id="29" xr3:uid="{43B86E00-3E80-4125-A7A6-72D7BC2BEF5D}" name="Work Location"/>
    <tableColumn id="30" xr3:uid="{375AE764-FEE3-4C4D-B695-A5628907BBB7}" name="Division"/>
    <tableColumn id="31" xr3:uid="{20CEC270-707F-49CC-BB10-5C48142D1B61}" name="Department" dataDxfId="0"/>
    <tableColumn id="32" xr3:uid="{0C90A927-8E03-41EA-98F2-D2639331302F}" name="Section"/>
    <tableColumn id="33" xr3:uid="{9ADB4875-A8F9-45C0-AE32-98AB6FFB64C6}" name="Direct Report"/>
    <tableColumn id="34" xr3:uid="{D3436140-97CD-4EBF-875C-ABD471C3E1CC}" name="Job Title"/>
    <tableColumn id="35" xr3:uid="{66AB94FE-02A4-4006-93B2-D7A78AE2D1C2}" name="Grade"/>
    <tableColumn id="36" xr3:uid="{A09EE900-3322-4893-8176-AA45024728CA}" name="Position Grade"/>
    <tableColumn id="46" xr3:uid="{1C65A545-CA39-4423-9E5F-AC3A3D639E2E}" name="Group Job Title"/>
    <tableColumn id="37" xr3:uid="{14F12B0F-3077-4CB1-B301-F7DAED70E697}" name="NPWP"/>
    <tableColumn id="38" xr3:uid="{829C80E5-212D-47F8-B507-43CEACAEBFC1}" name="BPJS TK No"/>
    <tableColumn id="39" xr3:uid="{21179ECA-7AAF-4CAF-A870-15B7DB97DB8F}" name="BPJS KES No"/>
    <tableColumn id="40" xr3:uid="{8C3FC122-D481-4446-BCD7-3CFD2AE716D0}" name="STATUS BPJS Kesehatan"/>
    <tableColumn id="41" xr3:uid="{B59C67D6-C105-4FC8-B522-972F0C7CC787}" name="KITAS NO"/>
    <tableColumn id="42" xr3:uid="{8294C4C0-D418-4C5C-9A0A-C1913FA77AE1}" name="PASSPORT ID"/>
    <tableColumn id="43" xr3:uid="{92A07265-7FB0-4750-9F95-8DB548D96BDE}" name="Terminated Date"/>
    <tableColumn id="44" xr3:uid="{328E2A8B-E99B-49E3-BA57-312B7BFD4D1E}" name="Terminated Type"/>
    <tableColumn id="45" xr3:uid="{CBB60AFA-B144-4AC7-B844-FB091F47BDF6}" name="Terminated Reas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3" dT="2024-05-30T23:48:52.37" personId="{D5DCEBD4-2E90-4FAF-AB57-4525122E478A}" id="{45F70D43-F965-4BD3-9B8B-0B8D5E153D6D}">
    <text xml:space="preserve">First Join entity sebelumnya
</text>
  </threadedComment>
  <threadedComment ref="AH3" dT="2024-04-02T23:16:38.49" personId="{D5DCEBD4-2E90-4FAF-AB57-4525122E478A}" id="{8BCA7583-10B5-4618-B8A5-E39265D02B59}">
    <text>First Join date di MTI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F3" dT="2024-05-30T23:48:52.37" personId="{D5DCEBD4-2E90-4FAF-AB57-4525122E478A}" id="{6BFE8D54-4568-4ADA-A061-D190508F549F}">
    <text xml:space="preserve">First Join entity sebelumnya
</text>
  </threadedComment>
  <threadedComment ref="AH3" dT="2024-04-02T23:16:38.49" personId="{D5DCEBD4-2E90-4FAF-AB57-4525122E478A}" id="{C00C5D43-BB1C-4D70-BA1F-B7788EAE39AE}">
    <text>First Join date di MTI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142D-3BBB-40CC-A35B-E85C2A53BBF7}">
  <dimension ref="A1:BE27"/>
  <sheetViews>
    <sheetView tabSelected="1" workbookViewId="0">
      <pane xSplit="6" ySplit="3" topLeftCell="AY15" activePane="bottomRight" state="frozen"/>
      <selection pane="bottomRight" activeCell="E27" sqref="E27"/>
      <selection pane="bottomLeft" activeCell="A4" sqref="A4"/>
      <selection pane="topRight" activeCell="G1" sqref="G1"/>
    </sheetView>
  </sheetViews>
  <sheetFormatPr defaultRowHeight="14.45"/>
  <cols>
    <col min="1" max="1" width="17.7109375" bestFit="1" customWidth="1"/>
    <col min="2" max="2" width="16.85546875" bestFit="1" customWidth="1"/>
    <col min="3" max="3" width="15.7109375" customWidth="1"/>
    <col min="4" max="4" width="12.28515625" bestFit="1" customWidth="1"/>
    <col min="5" max="5" width="11.7109375" bestFit="1" customWidth="1"/>
    <col min="6" max="6" width="20.28515625" bestFit="1" customWidth="1"/>
    <col min="7" max="7" width="11.85546875" bestFit="1" customWidth="1"/>
    <col min="8" max="8" width="17.7109375" bestFit="1" customWidth="1"/>
    <col min="9" max="9" width="16.7109375" bestFit="1" customWidth="1"/>
    <col min="10" max="10" width="11.140625" bestFit="1" customWidth="1"/>
    <col min="11" max="11" width="18.28515625" bestFit="1" customWidth="1"/>
    <col min="12" max="12" width="14.7109375" bestFit="1" customWidth="1"/>
    <col min="13" max="13" width="18" bestFit="1" customWidth="1"/>
    <col min="14" max="16" width="17.7109375" bestFit="1" customWidth="1"/>
    <col min="17" max="17" width="12.7109375" bestFit="1" customWidth="1"/>
    <col min="18" max="18" width="15.28515625" bestFit="1" customWidth="1"/>
    <col min="19" max="19" width="15.140625" bestFit="1" customWidth="1"/>
    <col min="20" max="20" width="17.7109375" bestFit="1" customWidth="1"/>
    <col min="21" max="21" width="29.42578125" bestFit="1" customWidth="1"/>
    <col min="22" max="22" width="29.7109375" bestFit="1" customWidth="1"/>
    <col min="23" max="23" width="33" bestFit="1" customWidth="1"/>
    <col min="24" max="24" width="21.7109375" bestFit="1" customWidth="1"/>
    <col min="25" max="25" width="17.28515625" bestFit="1" customWidth="1"/>
    <col min="26" max="26" width="63" bestFit="1" customWidth="1"/>
    <col min="27" max="27" width="12.85546875" bestFit="1" customWidth="1"/>
    <col min="28" max="28" width="15.7109375" bestFit="1" customWidth="1"/>
    <col min="29" max="29" width="17.7109375" bestFit="1" customWidth="1"/>
    <col min="30" max="30" width="14.42578125" bestFit="1" customWidth="1"/>
    <col min="31" max="31" width="18.5703125" bestFit="1" customWidth="1"/>
    <col min="32" max="32" width="34.140625" bestFit="1" customWidth="1"/>
    <col min="33" max="33" width="27.28515625" bestFit="1" customWidth="1"/>
    <col min="34" max="34" width="18.28515625" bestFit="1" customWidth="1"/>
    <col min="35" max="35" width="13.5703125" bestFit="1" customWidth="1"/>
    <col min="36" max="36" width="23.28515625" bestFit="1" customWidth="1"/>
    <col min="37" max="37" width="17.28515625" bestFit="1" customWidth="1"/>
    <col min="38" max="38" width="21.28515625" bestFit="1" customWidth="1"/>
    <col min="39" max="39" width="14.140625" bestFit="1" customWidth="1"/>
    <col min="40" max="40" width="11.7109375" bestFit="1" customWidth="1"/>
    <col min="41" max="41" width="16.85546875" bestFit="1" customWidth="1"/>
    <col min="42" max="42" width="21.5703125" customWidth="1"/>
    <col min="43" max="43" width="16.85546875" bestFit="1" customWidth="1"/>
    <col min="44" max="44" width="17.42578125" bestFit="1" customWidth="1"/>
    <col min="45" max="45" width="23.28515625" bestFit="1" customWidth="1"/>
    <col min="46" max="46" width="10.7109375" bestFit="1" customWidth="1"/>
    <col min="47" max="47" width="18.7109375" bestFit="1" customWidth="1"/>
    <col min="48" max="48" width="19.28515625" bestFit="1" customWidth="1"/>
    <col min="49" max="49" width="15.7109375" bestFit="1" customWidth="1"/>
    <col min="50" max="50" width="18.85546875" bestFit="1" customWidth="1"/>
    <col min="51" max="51" width="15.7109375" bestFit="1" customWidth="1"/>
    <col min="52" max="52" width="16.140625" customWidth="1"/>
    <col min="53" max="53" width="15.42578125" bestFit="1" customWidth="1"/>
    <col min="54" max="54" width="16.7109375" bestFit="1" customWidth="1"/>
    <col min="55" max="55" width="16" customWidth="1"/>
    <col min="56" max="56" width="12.85546875" bestFit="1" customWidth="1"/>
    <col min="57" max="57" width="14.5703125" bestFit="1" customWidth="1"/>
  </cols>
  <sheetData>
    <row r="1" spans="1:57" ht="63">
      <c r="B1" s="1"/>
      <c r="C1" s="1"/>
      <c r="D1" s="27">
        <f>COUNTA(Employee_ID_Active[Emp. ID])</f>
        <v>24</v>
      </c>
      <c r="E1" s="27"/>
      <c r="F1" s="2"/>
      <c r="G1" s="3"/>
      <c r="H1" s="4"/>
      <c r="I1" s="5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7"/>
      <c r="X1" s="4"/>
      <c r="Y1" s="4"/>
      <c r="Z1" s="8"/>
      <c r="AA1" s="4"/>
      <c r="AB1" s="4"/>
      <c r="AC1" s="4"/>
      <c r="AD1" s="4"/>
      <c r="AE1" s="4"/>
      <c r="AF1" s="5"/>
      <c r="AG1" s="5"/>
      <c r="AH1" s="5"/>
      <c r="AI1" s="5"/>
      <c r="AJ1" s="4"/>
      <c r="AK1" s="5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3" spans="1:57" s="21" customFormat="1" ht="28.9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1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12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9" t="s">
        <v>35</v>
      </c>
      <c r="AK3" s="10" t="s">
        <v>36</v>
      </c>
      <c r="AL3" s="9" t="s">
        <v>37</v>
      </c>
      <c r="AM3" s="9" t="s">
        <v>38</v>
      </c>
      <c r="AN3" s="9" t="s">
        <v>39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9" t="s">
        <v>45</v>
      </c>
      <c r="AU3" s="9" t="s">
        <v>46</v>
      </c>
      <c r="AV3" s="9" t="s">
        <v>47</v>
      </c>
      <c r="AW3" s="9" t="s">
        <v>48</v>
      </c>
      <c r="AX3" s="9" t="s">
        <v>49</v>
      </c>
      <c r="AY3" s="9" t="s">
        <v>50</v>
      </c>
      <c r="AZ3" s="9" t="s">
        <v>51</v>
      </c>
      <c r="BA3" s="9" t="s">
        <v>52</v>
      </c>
      <c r="BB3" s="9" t="s">
        <v>53</v>
      </c>
      <c r="BC3" s="9" t="s">
        <v>54</v>
      </c>
      <c r="BD3" s="9" t="s">
        <v>55</v>
      </c>
      <c r="BE3" s="9" t="s">
        <v>56</v>
      </c>
    </row>
    <row r="4" spans="1:57" ht="28.9">
      <c r="A4" s="26" t="s">
        <v>57</v>
      </c>
      <c r="B4" s="26" t="s">
        <v>57</v>
      </c>
      <c r="C4" s="26" t="s">
        <v>57</v>
      </c>
      <c r="D4" s="13" t="s">
        <v>58</v>
      </c>
      <c r="E4" s="13">
        <v>1</v>
      </c>
      <c r="F4" s="14" t="s">
        <v>59</v>
      </c>
      <c r="G4" s="13"/>
      <c r="H4" s="13"/>
      <c r="I4" s="15">
        <v>32874</v>
      </c>
      <c r="J4" s="16">
        <f t="shared" ref="J4:J17" ca="1" si="0">(TODAY()-I4)/365</f>
        <v>36.238356164383561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3"/>
      <c r="AB4" s="13"/>
      <c r="AC4" s="13"/>
      <c r="AD4" s="13"/>
      <c r="AE4" s="13"/>
      <c r="AF4" s="15"/>
      <c r="AG4" s="15"/>
      <c r="AH4" s="15">
        <v>44927</v>
      </c>
      <c r="AI4" s="15"/>
      <c r="AJ4" s="13"/>
      <c r="AK4" s="15"/>
      <c r="AL4" s="17" t="str">
        <f t="shared" ref="AL4" ca="1" si="1">DATEDIF(AH4,TODAY(),"y")&amp;"Tahun"&amp; DATEDIF(AH4,TODAY(),"YM")&amp;"Bulan" &amp; DATEDIF(AH4,TODAY(),"MD")&amp;"Hari"</f>
        <v>3Tahun2Bulan19Hari</v>
      </c>
      <c r="AM4" s="13"/>
      <c r="AN4" s="13"/>
      <c r="AO4" s="13"/>
      <c r="AP4" s="14" t="s">
        <v>60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8"/>
      <c r="BD4" s="18"/>
      <c r="BE4" s="18"/>
    </row>
    <row r="5" spans="1:57">
      <c r="A5" s="26" t="s">
        <v>57</v>
      </c>
      <c r="B5" s="26" t="s">
        <v>57</v>
      </c>
      <c r="C5" s="26" t="s">
        <v>57</v>
      </c>
      <c r="D5" s="13" t="s">
        <v>61</v>
      </c>
      <c r="E5" s="13">
        <v>2</v>
      </c>
      <c r="F5" s="25" t="s">
        <v>62</v>
      </c>
      <c r="G5" s="25"/>
      <c r="H5" s="25"/>
      <c r="I5" s="15">
        <v>32874</v>
      </c>
      <c r="J5" s="16">
        <f t="shared" ca="1" si="0"/>
        <v>36.238356164383561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15"/>
      <c r="AG5" s="25"/>
      <c r="AH5" s="15">
        <v>44927</v>
      </c>
      <c r="AI5" s="15"/>
      <c r="AJ5" s="25"/>
      <c r="AK5" s="15"/>
      <c r="AL5" s="13" t="str">
        <f ca="1">DATEDIF(AH5,TODAY(),"y")&amp;"Tahun"&amp; DATEDIF(AH5,TODAY(),"YM")&amp;"Bulan" &amp; DATEDIF(AH5,TODAY(),"MD")&amp;"Hari"</f>
        <v>3Tahun2Bulan19Hari</v>
      </c>
      <c r="AM5" s="25"/>
      <c r="AN5" s="25"/>
      <c r="AO5" s="25"/>
      <c r="AP5" s="14" t="s">
        <v>63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</row>
    <row r="6" spans="1:57">
      <c r="A6" s="26" t="s">
        <v>57</v>
      </c>
      <c r="B6" s="26" t="s">
        <v>57</v>
      </c>
      <c r="C6" s="26" t="s">
        <v>57</v>
      </c>
      <c r="D6" s="13" t="s">
        <v>64</v>
      </c>
      <c r="E6" s="13">
        <v>3</v>
      </c>
      <c r="F6" s="14" t="s">
        <v>65</v>
      </c>
      <c r="G6" s="25"/>
      <c r="H6" s="25"/>
      <c r="I6" s="15">
        <v>32874</v>
      </c>
      <c r="J6" s="16">
        <f t="shared" ca="1" si="0"/>
        <v>36.238356164383561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15"/>
      <c r="AG6" s="25"/>
      <c r="AH6" s="15">
        <v>44927</v>
      </c>
      <c r="AI6" s="15"/>
      <c r="AJ6" s="25"/>
      <c r="AK6" s="15"/>
      <c r="AL6" s="13" t="str">
        <f t="shared" ref="AL6:AL17" ca="1" si="2">DATEDIF(AH6,TODAY(),"y")&amp;"Tahun"&amp; DATEDIF(AH6,TODAY(),"YM")&amp;"Bulan" &amp; DATEDIF(AH6,TODAY(),"MD")&amp;"Hari"</f>
        <v>3Tahun2Bulan19Hari</v>
      </c>
      <c r="AM6" s="25"/>
      <c r="AN6" s="25"/>
      <c r="AO6" s="25"/>
      <c r="AP6" s="14" t="s">
        <v>66</v>
      </c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</row>
    <row r="7" spans="1:57">
      <c r="A7" s="26" t="s">
        <v>57</v>
      </c>
      <c r="B7" s="26" t="s">
        <v>57</v>
      </c>
      <c r="C7" s="26" t="s">
        <v>57</v>
      </c>
      <c r="D7" s="13" t="s">
        <v>67</v>
      </c>
      <c r="E7" s="13">
        <v>4</v>
      </c>
      <c r="F7" s="25" t="s">
        <v>68</v>
      </c>
      <c r="G7" s="25"/>
      <c r="H7" s="25"/>
      <c r="I7" s="15">
        <v>32874</v>
      </c>
      <c r="J7" s="16">
        <f t="shared" ca="1" si="0"/>
        <v>36.238356164383561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15"/>
      <c r="AG7" s="25"/>
      <c r="AH7" s="15">
        <v>44927</v>
      </c>
      <c r="AI7" s="15"/>
      <c r="AJ7" s="25"/>
      <c r="AK7" s="15"/>
      <c r="AL7" s="13" t="str">
        <f t="shared" ca="1" si="2"/>
        <v>3Tahun2Bulan19Hari</v>
      </c>
      <c r="AM7" s="25"/>
      <c r="AN7" s="25"/>
      <c r="AO7" s="25"/>
      <c r="AP7" s="14" t="s">
        <v>69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</row>
    <row r="8" spans="1:57">
      <c r="A8" s="26" t="s">
        <v>57</v>
      </c>
      <c r="B8" s="26" t="s">
        <v>57</v>
      </c>
      <c r="C8" s="26" t="s">
        <v>57</v>
      </c>
      <c r="D8" s="13" t="s">
        <v>70</v>
      </c>
      <c r="E8" s="13">
        <v>5</v>
      </c>
      <c r="F8" s="14" t="s">
        <v>71</v>
      </c>
      <c r="G8" s="25"/>
      <c r="H8" s="25"/>
      <c r="I8" s="15">
        <v>32874</v>
      </c>
      <c r="J8" s="16">
        <f t="shared" ca="1" si="0"/>
        <v>36.238356164383561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15"/>
      <c r="AG8" s="25"/>
      <c r="AH8" s="15">
        <v>44927</v>
      </c>
      <c r="AI8" s="15"/>
      <c r="AJ8" s="25"/>
      <c r="AK8" s="15"/>
      <c r="AL8" s="13" t="str">
        <f t="shared" ca="1" si="2"/>
        <v>3Tahun2Bulan19Hari</v>
      </c>
      <c r="AM8" s="25"/>
      <c r="AN8" s="25"/>
      <c r="AO8" s="25"/>
      <c r="AP8" s="14" t="s">
        <v>72</v>
      </c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</row>
    <row r="9" spans="1:57" ht="28.9">
      <c r="A9" s="26" t="s">
        <v>57</v>
      </c>
      <c r="B9" s="26" t="s">
        <v>57</v>
      </c>
      <c r="C9" s="26" t="s">
        <v>57</v>
      </c>
      <c r="D9" s="13" t="s">
        <v>73</v>
      </c>
      <c r="E9" s="13">
        <v>6</v>
      </c>
      <c r="F9" s="25" t="s">
        <v>74</v>
      </c>
      <c r="G9" s="25"/>
      <c r="H9" s="25"/>
      <c r="I9" s="15">
        <v>32874</v>
      </c>
      <c r="J9" s="16">
        <f t="shared" ca="1" si="0"/>
        <v>36.238356164383561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15"/>
      <c r="AG9" s="25"/>
      <c r="AH9" s="15">
        <v>44927</v>
      </c>
      <c r="AI9" s="15"/>
      <c r="AJ9" s="25"/>
      <c r="AK9" s="15"/>
      <c r="AL9" s="13" t="str">
        <f t="shared" ca="1" si="2"/>
        <v>3Tahun2Bulan19Hari</v>
      </c>
      <c r="AM9" s="25"/>
      <c r="AN9" s="25"/>
      <c r="AO9" s="25"/>
      <c r="AP9" s="14" t="s">
        <v>75</v>
      </c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</row>
    <row r="10" spans="1:57">
      <c r="A10" s="26" t="s">
        <v>57</v>
      </c>
      <c r="B10" s="26" t="s">
        <v>57</v>
      </c>
      <c r="C10" s="26" t="s">
        <v>57</v>
      </c>
      <c r="D10" s="13" t="s">
        <v>76</v>
      </c>
      <c r="E10" s="13">
        <v>7</v>
      </c>
      <c r="F10" s="14" t="s">
        <v>77</v>
      </c>
      <c r="G10" s="25"/>
      <c r="H10" s="25"/>
      <c r="I10" s="15">
        <v>32874</v>
      </c>
      <c r="J10" s="16">
        <f t="shared" ca="1" si="0"/>
        <v>36.238356164383561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15"/>
      <c r="AG10" s="25"/>
      <c r="AH10" s="15">
        <v>44927</v>
      </c>
      <c r="AI10" s="15"/>
      <c r="AJ10" s="25"/>
      <c r="AK10" s="15"/>
      <c r="AL10" s="13" t="str">
        <f t="shared" ca="1" si="2"/>
        <v>3Tahun2Bulan19Hari</v>
      </c>
      <c r="AM10" s="25"/>
      <c r="AN10" s="25"/>
      <c r="AO10" s="25"/>
      <c r="AP10" s="14" t="s">
        <v>78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</row>
    <row r="11" spans="1:57">
      <c r="A11" s="26" t="s">
        <v>57</v>
      </c>
      <c r="B11" s="26" t="s">
        <v>57</v>
      </c>
      <c r="C11" s="26" t="s">
        <v>57</v>
      </c>
      <c r="D11" s="13" t="s">
        <v>79</v>
      </c>
      <c r="E11" s="13">
        <v>8</v>
      </c>
      <c r="F11" s="25" t="s">
        <v>80</v>
      </c>
      <c r="G11" s="25"/>
      <c r="H11" s="25"/>
      <c r="I11" s="15">
        <v>32874</v>
      </c>
      <c r="J11" s="16">
        <f t="shared" ca="1" si="0"/>
        <v>36.238356164383561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15"/>
      <c r="AG11" s="25"/>
      <c r="AH11" s="15">
        <v>44927</v>
      </c>
      <c r="AI11" s="15"/>
      <c r="AJ11" s="25"/>
      <c r="AK11" s="15"/>
      <c r="AL11" s="13" t="str">
        <f t="shared" ca="1" si="2"/>
        <v>3Tahun2Bulan19Hari</v>
      </c>
      <c r="AM11" s="25"/>
      <c r="AN11" s="25"/>
      <c r="AO11" s="25"/>
      <c r="AP11" s="14" t="s">
        <v>81</v>
      </c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</row>
    <row r="12" spans="1:57">
      <c r="A12" s="26" t="s">
        <v>57</v>
      </c>
      <c r="B12" s="26" t="s">
        <v>57</v>
      </c>
      <c r="C12" s="26" t="s">
        <v>57</v>
      </c>
      <c r="D12" s="13" t="s">
        <v>82</v>
      </c>
      <c r="E12" s="13">
        <v>9</v>
      </c>
      <c r="F12" s="14" t="s">
        <v>83</v>
      </c>
      <c r="G12" s="25"/>
      <c r="H12" s="25"/>
      <c r="I12" s="15">
        <v>32874</v>
      </c>
      <c r="J12" s="16">
        <f t="shared" ca="1" si="0"/>
        <v>36.238356164383561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15"/>
      <c r="AG12" s="25"/>
      <c r="AH12" s="15">
        <v>44927</v>
      </c>
      <c r="AI12" s="15"/>
      <c r="AJ12" s="25"/>
      <c r="AK12" s="15"/>
      <c r="AL12" s="13" t="str">
        <f t="shared" ca="1" si="2"/>
        <v>3Tahun2Bulan19Hari</v>
      </c>
      <c r="AM12" s="25"/>
      <c r="AN12" s="25"/>
      <c r="AO12" s="25"/>
      <c r="AP12" s="14" t="s">
        <v>84</v>
      </c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</row>
    <row r="13" spans="1:57">
      <c r="A13" s="26" t="s">
        <v>57</v>
      </c>
      <c r="B13" s="26" t="s">
        <v>57</v>
      </c>
      <c r="C13" s="26" t="s">
        <v>57</v>
      </c>
      <c r="D13" s="13" t="s">
        <v>85</v>
      </c>
      <c r="E13" s="13">
        <v>10</v>
      </c>
      <c r="F13" s="25" t="s">
        <v>86</v>
      </c>
      <c r="G13" s="25"/>
      <c r="H13" s="25"/>
      <c r="I13" s="15">
        <v>32874</v>
      </c>
      <c r="J13" s="16">
        <f t="shared" ca="1" si="0"/>
        <v>36.238356164383561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15"/>
      <c r="AG13" s="25"/>
      <c r="AH13" s="15">
        <v>44927</v>
      </c>
      <c r="AI13" s="15"/>
      <c r="AJ13" s="25"/>
      <c r="AK13" s="15"/>
      <c r="AL13" s="13" t="str">
        <f t="shared" ca="1" si="2"/>
        <v>3Tahun2Bulan19Hari</v>
      </c>
      <c r="AM13" s="25"/>
      <c r="AN13" s="25"/>
      <c r="AO13" s="25"/>
      <c r="AP13" s="14" t="s">
        <v>87</v>
      </c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</row>
    <row r="14" spans="1:57">
      <c r="A14" s="26" t="s">
        <v>57</v>
      </c>
      <c r="B14" s="26" t="s">
        <v>57</v>
      </c>
      <c r="C14" s="26" t="s">
        <v>57</v>
      </c>
      <c r="D14" s="13" t="s">
        <v>88</v>
      </c>
      <c r="E14" s="13">
        <v>11</v>
      </c>
      <c r="F14" s="14" t="s">
        <v>89</v>
      </c>
      <c r="G14" s="25"/>
      <c r="H14" s="25"/>
      <c r="I14" s="15">
        <v>32874</v>
      </c>
      <c r="J14" s="16">
        <f t="shared" ca="1" si="0"/>
        <v>36.238356164383561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15"/>
      <c r="AG14" s="25"/>
      <c r="AH14" s="15">
        <v>44927</v>
      </c>
      <c r="AI14" s="15"/>
      <c r="AJ14" s="25"/>
      <c r="AK14" s="15"/>
      <c r="AL14" s="13" t="str">
        <f t="shared" ca="1" si="2"/>
        <v>3Tahun2Bulan19Hari</v>
      </c>
      <c r="AM14" s="25"/>
      <c r="AN14" s="25"/>
      <c r="AO14" s="25"/>
      <c r="AP14" s="14" t="s">
        <v>90</v>
      </c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</row>
    <row r="15" spans="1:57">
      <c r="A15" s="26" t="s">
        <v>57</v>
      </c>
      <c r="B15" s="26" t="s">
        <v>57</v>
      </c>
      <c r="C15" s="26" t="s">
        <v>57</v>
      </c>
      <c r="D15" s="13" t="s">
        <v>91</v>
      </c>
      <c r="E15" s="13">
        <v>12</v>
      </c>
      <c r="F15" s="25" t="s">
        <v>92</v>
      </c>
      <c r="G15" s="25"/>
      <c r="H15" s="25"/>
      <c r="I15" s="15">
        <v>32874</v>
      </c>
      <c r="J15" s="16">
        <f t="shared" ca="1" si="0"/>
        <v>36.238356164383561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15"/>
      <c r="AG15" s="25"/>
      <c r="AH15" s="15">
        <v>44927</v>
      </c>
      <c r="AI15" s="15"/>
      <c r="AJ15" s="25"/>
      <c r="AK15" s="15"/>
      <c r="AL15" s="13" t="str">
        <f t="shared" ca="1" si="2"/>
        <v>3Tahun2Bulan19Hari</v>
      </c>
      <c r="AM15" s="25"/>
      <c r="AN15" s="25"/>
      <c r="AO15" s="25"/>
      <c r="AP15" s="14" t="s">
        <v>93</v>
      </c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</row>
    <row r="16" spans="1:57">
      <c r="A16" s="26" t="s">
        <v>57</v>
      </c>
      <c r="B16" s="26" t="s">
        <v>57</v>
      </c>
      <c r="C16" s="26" t="s">
        <v>57</v>
      </c>
      <c r="D16" s="13" t="s">
        <v>94</v>
      </c>
      <c r="E16" s="13">
        <v>13</v>
      </c>
      <c r="F16" s="14" t="s">
        <v>95</v>
      </c>
      <c r="G16" s="25"/>
      <c r="H16" s="25"/>
      <c r="I16" s="15">
        <v>32874</v>
      </c>
      <c r="J16" s="16">
        <f t="shared" ca="1" si="0"/>
        <v>36.238356164383561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15"/>
      <c r="AG16" s="25"/>
      <c r="AH16" s="15">
        <v>44927</v>
      </c>
      <c r="AI16" s="15"/>
      <c r="AJ16" s="25"/>
      <c r="AK16" s="15"/>
      <c r="AL16" s="13" t="str">
        <f t="shared" ca="1" si="2"/>
        <v>3Tahun2Bulan19Hari</v>
      </c>
      <c r="AM16" s="25"/>
      <c r="AN16" s="25"/>
      <c r="AO16" s="25"/>
      <c r="AP16" s="14" t="s">
        <v>96</v>
      </c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</row>
    <row r="17" spans="1:57">
      <c r="A17" s="26" t="s">
        <v>57</v>
      </c>
      <c r="B17" s="26" t="s">
        <v>57</v>
      </c>
      <c r="C17" s="26" t="s">
        <v>57</v>
      </c>
      <c r="D17" s="13" t="s">
        <v>97</v>
      </c>
      <c r="E17" s="13">
        <v>14</v>
      </c>
      <c r="F17" s="25" t="s">
        <v>98</v>
      </c>
      <c r="G17" s="25"/>
      <c r="H17" s="25"/>
      <c r="I17" s="15">
        <v>32874</v>
      </c>
      <c r="J17" s="16">
        <f t="shared" ca="1" si="0"/>
        <v>36.238356164383561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15"/>
      <c r="AG17" s="25"/>
      <c r="AH17" s="15">
        <v>44927</v>
      </c>
      <c r="AI17" s="15"/>
      <c r="AJ17" s="25"/>
      <c r="AK17" s="15"/>
      <c r="AL17" s="13" t="str">
        <f t="shared" ca="1" si="2"/>
        <v>3Tahun2Bulan19Hari</v>
      </c>
      <c r="AM17" s="25"/>
      <c r="AN17" s="25"/>
      <c r="AO17" s="25"/>
      <c r="AP17" s="14" t="s">
        <v>99</v>
      </c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</row>
    <row r="18" spans="1:57">
      <c r="A18" s="26" t="s">
        <v>57</v>
      </c>
      <c r="B18" s="26" t="s">
        <v>57</v>
      </c>
      <c r="C18" s="26" t="s">
        <v>57</v>
      </c>
      <c r="D18" s="13" t="s">
        <v>97</v>
      </c>
      <c r="E18" s="13">
        <v>14</v>
      </c>
      <c r="F18" s="25" t="s">
        <v>98</v>
      </c>
      <c r="G18" s="25"/>
      <c r="H18" s="25"/>
      <c r="I18" s="15">
        <v>32874</v>
      </c>
      <c r="J18" s="16">
        <f t="shared" ref="J18" ca="1" si="3">(TODAY()-I18)/365</f>
        <v>36.238356164383561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15"/>
      <c r="AG18" s="25"/>
      <c r="AH18" s="15">
        <v>44927</v>
      </c>
      <c r="AI18" s="15"/>
      <c r="AJ18" s="25"/>
      <c r="AK18" s="15"/>
      <c r="AL18" s="13" t="str">
        <f t="shared" ref="AL18" ca="1" si="4">DATEDIF(AH18,TODAY(),"y")&amp;"Tahun"&amp; DATEDIF(AH18,TODAY(),"YM")&amp;"Bulan" &amp; DATEDIF(AH18,TODAY(),"MD")&amp;"Hari"</f>
        <v>3Tahun2Bulan19Hari</v>
      </c>
      <c r="AM18" s="25"/>
      <c r="AN18" s="25"/>
      <c r="AO18" s="25"/>
      <c r="AP18" s="14" t="s">
        <v>93</v>
      </c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</row>
    <row r="19" spans="1:57">
      <c r="A19" s="26" t="s">
        <v>57</v>
      </c>
      <c r="B19" s="26" t="s">
        <v>57</v>
      </c>
      <c r="C19" s="26" t="s">
        <v>57</v>
      </c>
      <c r="D19" s="13" t="s">
        <v>97</v>
      </c>
      <c r="E19" s="13">
        <v>14</v>
      </c>
      <c r="F19" s="25" t="s">
        <v>98</v>
      </c>
      <c r="G19" s="25"/>
      <c r="H19" s="25"/>
      <c r="I19" s="15">
        <v>32874</v>
      </c>
      <c r="J19" s="16">
        <f t="shared" ref="J19" ca="1" si="5">(TODAY()-I19)/365</f>
        <v>36.238356164383561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15"/>
      <c r="AG19" s="25"/>
      <c r="AH19" s="15">
        <v>44927</v>
      </c>
      <c r="AI19" s="15"/>
      <c r="AJ19" s="25"/>
      <c r="AK19" s="15"/>
      <c r="AL19" s="13" t="str">
        <f t="shared" ref="AL19" ca="1" si="6">DATEDIF(AH19,TODAY(),"y")&amp;"Tahun"&amp; DATEDIF(AH19,TODAY(),"YM")&amp;"Bulan" &amp; DATEDIF(AH19,TODAY(),"MD")&amp;"Hari"</f>
        <v>3Tahun2Bulan19Hari</v>
      </c>
      <c r="AM19" s="25"/>
      <c r="AN19" s="25"/>
      <c r="AO19" s="25"/>
      <c r="AP19" s="14" t="s">
        <v>63</v>
      </c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</row>
    <row r="20" spans="1:57">
      <c r="A20" s="26" t="s">
        <v>57</v>
      </c>
      <c r="B20" s="26" t="s">
        <v>57</v>
      </c>
      <c r="C20" s="26" t="s">
        <v>57</v>
      </c>
      <c r="D20" s="13" t="s">
        <v>97</v>
      </c>
      <c r="E20" s="13">
        <v>14</v>
      </c>
      <c r="F20" s="25" t="s">
        <v>98</v>
      </c>
      <c r="G20" s="25"/>
      <c r="H20" s="25"/>
      <c r="I20" s="15">
        <v>32874</v>
      </c>
      <c r="J20" s="16">
        <f t="shared" ref="J20:J21" ca="1" si="7">(TODAY()-I20)/365</f>
        <v>36.238356164383561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15"/>
      <c r="AG20" s="25"/>
      <c r="AH20" s="15">
        <v>44927</v>
      </c>
      <c r="AI20" s="15"/>
      <c r="AJ20" s="25"/>
      <c r="AK20" s="15"/>
      <c r="AL20" s="13" t="str">
        <f t="shared" ref="AL20:AL21" ca="1" si="8">DATEDIF(AH20,TODAY(),"y")&amp;"Tahun"&amp; DATEDIF(AH20,TODAY(),"YM")&amp;"Bulan" &amp; DATEDIF(AH20,TODAY(),"MD")&amp;"Hari"</f>
        <v>3Tahun2Bulan19Hari</v>
      </c>
      <c r="AM20" s="25"/>
      <c r="AN20" s="25"/>
      <c r="AO20" s="25"/>
      <c r="AP20" s="14" t="s">
        <v>63</v>
      </c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</row>
    <row r="21" spans="1:57">
      <c r="A21" s="26" t="s">
        <v>57</v>
      </c>
      <c r="B21" s="26" t="s">
        <v>57</v>
      </c>
      <c r="C21" s="26" t="s">
        <v>57</v>
      </c>
      <c r="D21" s="13" t="s">
        <v>97</v>
      </c>
      <c r="E21" s="13">
        <v>14</v>
      </c>
      <c r="F21" s="25" t="s">
        <v>98</v>
      </c>
      <c r="G21" s="25"/>
      <c r="H21" s="25"/>
      <c r="I21" s="15">
        <v>32874</v>
      </c>
      <c r="J21" s="16">
        <f t="shared" ca="1" si="7"/>
        <v>36.238356164383561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15"/>
      <c r="AG21" s="25"/>
      <c r="AH21" s="15">
        <v>44927</v>
      </c>
      <c r="AI21" s="15"/>
      <c r="AJ21" s="25"/>
      <c r="AK21" s="15"/>
      <c r="AL21" s="13" t="str">
        <f t="shared" ca="1" si="8"/>
        <v>3Tahun2Bulan19Hari</v>
      </c>
      <c r="AM21" s="25"/>
      <c r="AN21" s="25"/>
      <c r="AO21" s="25"/>
      <c r="AP21" s="14" t="s">
        <v>93</v>
      </c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</row>
    <row r="22" spans="1:57">
      <c r="A22" s="26" t="s">
        <v>57</v>
      </c>
      <c r="B22" s="26" t="s">
        <v>57</v>
      </c>
      <c r="C22" s="26" t="s">
        <v>57</v>
      </c>
      <c r="D22" s="13" t="s">
        <v>97</v>
      </c>
      <c r="E22" s="13">
        <v>15</v>
      </c>
      <c r="F22" s="25" t="s">
        <v>100</v>
      </c>
      <c r="G22" s="25"/>
      <c r="H22" s="25"/>
      <c r="I22" s="15">
        <v>32874</v>
      </c>
      <c r="J22" s="16">
        <f t="shared" ref="J22" ca="1" si="9">(TODAY()-I22)/365</f>
        <v>36.238356164383561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15"/>
      <c r="AG22" s="25"/>
      <c r="AH22" s="15">
        <v>44927</v>
      </c>
      <c r="AI22" s="15"/>
      <c r="AJ22" s="25"/>
      <c r="AK22" s="15"/>
      <c r="AL22" s="13" t="str">
        <f t="shared" ref="AL22" ca="1" si="10">DATEDIF(AH22,TODAY(),"y")&amp;"Tahun"&amp; DATEDIF(AH22,TODAY(),"YM")&amp;"Bulan" &amp; DATEDIF(AH22,TODAY(),"MD")&amp;"Hari"</f>
        <v>3Tahun2Bulan19Hari</v>
      </c>
      <c r="AM22" s="25"/>
      <c r="AN22" s="25"/>
      <c r="AO22" s="25"/>
      <c r="AP22" s="14" t="s">
        <v>93</v>
      </c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</row>
    <row r="23" spans="1:57">
      <c r="A23" s="26" t="s">
        <v>57</v>
      </c>
      <c r="B23" s="26" t="s">
        <v>57</v>
      </c>
      <c r="C23" s="26" t="s">
        <v>57</v>
      </c>
      <c r="D23" s="13" t="s">
        <v>97</v>
      </c>
      <c r="E23" s="13">
        <v>15</v>
      </c>
      <c r="F23" s="25" t="s">
        <v>101</v>
      </c>
      <c r="G23" s="25"/>
      <c r="H23" s="25"/>
      <c r="I23" s="15">
        <v>32874</v>
      </c>
      <c r="J23" s="16">
        <f t="shared" ref="J23" ca="1" si="11">(TODAY()-I23)/365</f>
        <v>36.238356164383561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15"/>
      <c r="AG23" s="25"/>
      <c r="AH23" s="15">
        <v>44927</v>
      </c>
      <c r="AI23" s="15"/>
      <c r="AJ23" s="25"/>
      <c r="AK23" s="15"/>
      <c r="AL23" s="13" t="str">
        <f t="shared" ref="AL23" ca="1" si="12">DATEDIF(AH23,TODAY(),"y")&amp;"Tahun"&amp; DATEDIF(AH23,TODAY(),"YM")&amp;"Bulan" &amp; DATEDIF(AH23,TODAY(),"MD")&amp;"Hari"</f>
        <v>3Tahun2Bulan19Hari</v>
      </c>
      <c r="AM23" s="25"/>
      <c r="AN23" s="25"/>
      <c r="AO23" s="25"/>
      <c r="AP23" s="14" t="s">
        <v>93</v>
      </c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</row>
    <row r="24" spans="1:57">
      <c r="A24" s="26" t="s">
        <v>57</v>
      </c>
      <c r="B24" s="26" t="s">
        <v>57</v>
      </c>
      <c r="C24" s="26" t="s">
        <v>57</v>
      </c>
      <c r="D24" s="13" t="s">
        <v>97</v>
      </c>
      <c r="E24" s="13">
        <v>15</v>
      </c>
      <c r="F24" s="25" t="s">
        <v>102</v>
      </c>
      <c r="G24" s="25"/>
      <c r="H24" s="25"/>
      <c r="I24" s="15">
        <v>32874</v>
      </c>
      <c r="J24" s="16">
        <f t="shared" ref="J24" ca="1" si="13">(TODAY()-I24)/365</f>
        <v>36.238356164383561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15"/>
      <c r="AG24" s="25"/>
      <c r="AH24" s="15">
        <v>44927</v>
      </c>
      <c r="AI24" s="15"/>
      <c r="AJ24" s="25"/>
      <c r="AK24" s="15"/>
      <c r="AL24" s="13" t="str">
        <f t="shared" ref="AL24" ca="1" si="14">DATEDIF(AH24,TODAY(),"y")&amp;"Tahun"&amp; DATEDIF(AH24,TODAY(),"YM")&amp;"Bulan" &amp; DATEDIF(AH24,TODAY(),"MD")&amp;"Hari"</f>
        <v>3Tahun2Bulan19Hari</v>
      </c>
      <c r="AM24" s="25"/>
      <c r="AN24" s="25"/>
      <c r="AO24" s="25"/>
      <c r="AP24" s="14" t="s">
        <v>93</v>
      </c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</row>
    <row r="25" spans="1:57">
      <c r="A25" s="26" t="s">
        <v>57</v>
      </c>
      <c r="B25" s="26" t="s">
        <v>57</v>
      </c>
      <c r="C25" s="26" t="s">
        <v>57</v>
      </c>
      <c r="D25" s="13" t="s">
        <v>97</v>
      </c>
      <c r="E25" s="13">
        <v>15</v>
      </c>
      <c r="F25" s="25" t="s">
        <v>103</v>
      </c>
      <c r="G25" s="25"/>
      <c r="H25" s="25"/>
      <c r="I25" s="15">
        <v>32874</v>
      </c>
      <c r="J25" s="16">
        <f t="shared" ref="J25" ca="1" si="15">(TODAY()-I25)/365</f>
        <v>36.238356164383561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15"/>
      <c r="AG25" s="25"/>
      <c r="AH25" s="15">
        <v>44927</v>
      </c>
      <c r="AI25" s="15"/>
      <c r="AJ25" s="25"/>
      <c r="AK25" s="15"/>
      <c r="AL25" s="13" t="str">
        <f t="shared" ref="AL25" ca="1" si="16">DATEDIF(AH25,TODAY(),"y")&amp;"Tahun"&amp; DATEDIF(AH25,TODAY(),"YM")&amp;"Bulan" &amp; DATEDIF(AH25,TODAY(),"MD")&amp;"Hari"</f>
        <v>3Tahun2Bulan19Hari</v>
      </c>
      <c r="AM25" s="25"/>
      <c r="AN25" s="25"/>
      <c r="AO25" s="25"/>
      <c r="AP25" s="14" t="s">
        <v>93</v>
      </c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</row>
    <row r="26" spans="1:57">
      <c r="A26" s="26" t="s">
        <v>57</v>
      </c>
      <c r="B26" s="26" t="s">
        <v>57</v>
      </c>
      <c r="C26" s="26" t="s">
        <v>57</v>
      </c>
      <c r="D26" s="13" t="s">
        <v>97</v>
      </c>
      <c r="E26" s="13">
        <v>15</v>
      </c>
      <c r="F26" s="25" t="s">
        <v>104</v>
      </c>
      <c r="G26" s="25"/>
      <c r="H26" s="25"/>
      <c r="I26" s="15">
        <v>32874</v>
      </c>
      <c r="J26" s="16">
        <f t="shared" ref="J26" ca="1" si="17">(TODAY()-I26)/365</f>
        <v>36.238356164383561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15"/>
      <c r="AG26" s="25"/>
      <c r="AH26" s="15">
        <v>44927</v>
      </c>
      <c r="AI26" s="15"/>
      <c r="AJ26" s="25"/>
      <c r="AK26" s="15"/>
      <c r="AL26" s="13" t="str">
        <f t="shared" ref="AL26" ca="1" si="18">DATEDIF(AH26,TODAY(),"y")&amp;"Tahun"&amp; DATEDIF(AH26,TODAY(),"YM")&amp;"Bulan" &amp; DATEDIF(AH26,TODAY(),"MD")&amp;"Hari"</f>
        <v>3Tahun2Bulan19Hari</v>
      </c>
      <c r="AM26" s="25"/>
      <c r="AN26" s="25"/>
      <c r="AO26" s="25"/>
      <c r="AP26" s="14" t="s">
        <v>93</v>
      </c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</row>
    <row r="27" spans="1:57">
      <c r="A27" s="26" t="s">
        <v>57</v>
      </c>
      <c r="B27" s="26" t="s">
        <v>57</v>
      </c>
      <c r="C27" s="26" t="s">
        <v>57</v>
      </c>
      <c r="D27" s="13" t="s">
        <v>97</v>
      </c>
      <c r="E27" s="13">
        <v>15</v>
      </c>
      <c r="F27" s="25" t="s">
        <v>104</v>
      </c>
      <c r="G27" s="25"/>
      <c r="H27" s="25"/>
      <c r="I27" s="15">
        <v>32874</v>
      </c>
      <c r="J27" s="16">
        <f t="shared" ref="J27" ca="1" si="19">(TODAY()-I27)/365</f>
        <v>36.238356164383561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15"/>
      <c r="AG27" s="25"/>
      <c r="AH27" s="15">
        <v>44927</v>
      </c>
      <c r="AI27" s="15"/>
      <c r="AJ27" s="25"/>
      <c r="AK27" s="15"/>
      <c r="AL27" s="13" t="str">
        <f t="shared" ref="AL27" ca="1" si="20">DATEDIF(AH27,TODAY(),"y")&amp;"Tahun"&amp; DATEDIF(AH27,TODAY(),"YM")&amp;"Bulan" &amp; DATEDIF(AH27,TODAY(),"MD")&amp;"Hari"</f>
        <v>3Tahun2Bulan19Hari</v>
      </c>
      <c r="AM27" s="25"/>
      <c r="AN27" s="25"/>
      <c r="AO27" s="25"/>
      <c r="AP27" s="14" t="s">
        <v>93</v>
      </c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</row>
  </sheetData>
  <mergeCells count="1">
    <mergeCell ref="D1:E1"/>
  </mergeCells>
  <phoneticPr fontId="11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5041-FFE7-4E85-9E7B-78C310E923A6}">
  <dimension ref="A1:BG17"/>
  <sheetViews>
    <sheetView workbookViewId="0">
      <pane xSplit="6" ySplit="3" topLeftCell="G4" activePane="bottomRight" state="frozen"/>
      <selection pane="bottomRight" activeCell="F4" sqref="F4:F17"/>
      <selection pane="bottomLeft" activeCell="A4" sqref="A4"/>
      <selection pane="topRight" activeCell="G1" sqref="G1"/>
    </sheetView>
  </sheetViews>
  <sheetFormatPr defaultRowHeight="14.45"/>
  <cols>
    <col min="1" max="1" width="17.7109375" bestFit="1" customWidth="1"/>
    <col min="2" max="2" width="16.85546875" bestFit="1" customWidth="1"/>
    <col min="3" max="3" width="15.7109375" customWidth="1"/>
    <col min="4" max="4" width="12.28515625" bestFit="1" customWidth="1"/>
    <col min="5" max="5" width="11.7109375" bestFit="1" customWidth="1"/>
    <col min="6" max="6" width="20.28515625" bestFit="1" customWidth="1"/>
    <col min="7" max="7" width="11.85546875" bestFit="1" customWidth="1"/>
    <col min="8" max="8" width="17.7109375" bestFit="1" customWidth="1"/>
    <col min="9" max="9" width="16.7109375" bestFit="1" customWidth="1"/>
    <col min="10" max="10" width="8.7109375" bestFit="1" customWidth="1"/>
    <col min="11" max="11" width="18.28515625" bestFit="1" customWidth="1"/>
    <col min="12" max="12" width="14.7109375" bestFit="1" customWidth="1"/>
    <col min="13" max="13" width="18" bestFit="1" customWidth="1"/>
    <col min="14" max="16" width="17.7109375" bestFit="1" customWidth="1"/>
    <col min="17" max="17" width="12.7109375" bestFit="1" customWidth="1"/>
    <col min="18" max="18" width="15.28515625" bestFit="1" customWidth="1"/>
    <col min="19" max="19" width="15.140625" bestFit="1" customWidth="1"/>
    <col min="20" max="20" width="17.7109375" bestFit="1" customWidth="1"/>
    <col min="21" max="21" width="29.42578125" bestFit="1" customWidth="1"/>
    <col min="22" max="22" width="29.7109375" bestFit="1" customWidth="1"/>
    <col min="23" max="23" width="33" bestFit="1" customWidth="1"/>
    <col min="24" max="24" width="21.7109375" bestFit="1" customWidth="1"/>
    <col min="25" max="25" width="17.28515625" bestFit="1" customWidth="1"/>
    <col min="26" max="26" width="63" bestFit="1" customWidth="1"/>
    <col min="27" max="27" width="12.85546875" bestFit="1" customWidth="1"/>
    <col min="28" max="28" width="15.7109375" bestFit="1" customWidth="1"/>
    <col min="29" max="29" width="17.7109375" bestFit="1" customWidth="1"/>
    <col min="30" max="30" width="14.42578125" bestFit="1" customWidth="1"/>
    <col min="31" max="31" width="18.5703125" bestFit="1" customWidth="1"/>
    <col min="32" max="32" width="34.140625" bestFit="1" customWidth="1"/>
    <col min="33" max="33" width="27.28515625" bestFit="1" customWidth="1"/>
    <col min="34" max="34" width="18.28515625" bestFit="1" customWidth="1"/>
    <col min="35" max="35" width="13.5703125" bestFit="1" customWidth="1"/>
    <col min="36" max="36" width="23.28515625" bestFit="1" customWidth="1"/>
    <col min="37" max="37" width="17.28515625" bestFit="1" customWidth="1"/>
    <col min="38" max="38" width="21.7109375" customWidth="1"/>
    <col min="39" max="39" width="14.140625" bestFit="1" customWidth="1"/>
    <col min="40" max="40" width="11.7109375" bestFit="1" customWidth="1"/>
    <col min="41" max="41" width="16.85546875" bestFit="1" customWidth="1"/>
    <col min="42" max="42" width="16.28515625" bestFit="1" customWidth="1"/>
    <col min="43" max="43" width="16.85546875" bestFit="1" customWidth="1"/>
    <col min="44" max="44" width="17.42578125" bestFit="1" customWidth="1"/>
    <col min="45" max="45" width="23.28515625" bestFit="1" customWidth="1"/>
    <col min="46" max="46" width="10.7109375" bestFit="1" customWidth="1"/>
    <col min="47" max="47" width="18.7109375" bestFit="1" customWidth="1"/>
    <col min="48" max="48" width="19.28515625" bestFit="1" customWidth="1"/>
    <col min="49" max="49" width="15.7109375" bestFit="1" customWidth="1"/>
    <col min="50" max="50" width="18.85546875" bestFit="1" customWidth="1"/>
    <col min="51" max="51" width="15.7109375" bestFit="1" customWidth="1"/>
    <col min="52" max="52" width="16.140625" customWidth="1"/>
    <col min="53" max="53" width="15.42578125" bestFit="1" customWidth="1"/>
    <col min="54" max="54" width="16.7109375" bestFit="1" customWidth="1"/>
    <col min="55" max="55" width="16" customWidth="1"/>
    <col min="56" max="56" width="12.85546875" bestFit="1" customWidth="1"/>
    <col min="57" max="57" width="15.7109375" bestFit="1" customWidth="1"/>
    <col min="58" max="58" width="12.28515625" bestFit="1" customWidth="1"/>
    <col min="59" max="59" width="13" bestFit="1" customWidth="1"/>
  </cols>
  <sheetData>
    <row r="1" spans="1:59" ht="63">
      <c r="B1" s="1"/>
      <c r="C1" s="1"/>
      <c r="D1" s="27">
        <f>COUNTA(Employee_ID_NA[Emp. ID])</f>
        <v>14</v>
      </c>
      <c r="E1" s="27"/>
      <c r="F1" s="2"/>
      <c r="G1" s="3"/>
      <c r="H1" s="4"/>
      <c r="I1" s="5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7"/>
      <c r="X1" s="4"/>
      <c r="Y1" s="4"/>
      <c r="Z1" s="8"/>
      <c r="AA1" s="4"/>
      <c r="AB1" s="4"/>
      <c r="AC1" s="4"/>
      <c r="AD1" s="4"/>
      <c r="AE1" s="4"/>
      <c r="AF1" s="5"/>
      <c r="AG1" s="5"/>
      <c r="AH1" s="5"/>
      <c r="AI1" s="5"/>
      <c r="AJ1" s="4"/>
      <c r="AK1" s="5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3" spans="1:59" s="21" customFormat="1" ht="28.9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1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12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9" t="s">
        <v>35</v>
      </c>
      <c r="AK3" s="10" t="s">
        <v>36</v>
      </c>
      <c r="AL3" s="9" t="s">
        <v>37</v>
      </c>
      <c r="AM3" s="9" t="s">
        <v>38</v>
      </c>
      <c r="AN3" s="9" t="s">
        <v>39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9" t="s">
        <v>45</v>
      </c>
      <c r="AU3" s="9" t="s">
        <v>46</v>
      </c>
      <c r="AV3" s="9" t="s">
        <v>47</v>
      </c>
      <c r="AW3" s="9" t="s">
        <v>48</v>
      </c>
      <c r="AX3" s="9" t="s">
        <v>49</v>
      </c>
      <c r="AY3" s="9" t="s">
        <v>50</v>
      </c>
      <c r="AZ3" s="9" t="s">
        <v>51</v>
      </c>
      <c r="BA3" s="9" t="s">
        <v>105</v>
      </c>
      <c r="BB3" s="9" t="s">
        <v>106</v>
      </c>
      <c r="BC3" s="9" t="s">
        <v>107</v>
      </c>
      <c r="BD3" s="9" t="s">
        <v>108</v>
      </c>
      <c r="BE3" s="9" t="s">
        <v>109</v>
      </c>
      <c r="BF3" s="23" t="s">
        <v>110</v>
      </c>
      <c r="BG3" s="24" t="s">
        <v>111</v>
      </c>
    </row>
    <row r="4" spans="1:59" ht="28.9">
      <c r="A4" s="26" t="s">
        <v>57</v>
      </c>
      <c r="B4" s="26" t="s">
        <v>57</v>
      </c>
      <c r="C4" s="26" t="s">
        <v>57</v>
      </c>
      <c r="D4" s="13" t="s">
        <v>58</v>
      </c>
      <c r="E4" s="13">
        <v>1</v>
      </c>
      <c r="F4" s="14" t="s">
        <v>59</v>
      </c>
      <c r="G4" s="13"/>
      <c r="H4" s="13"/>
      <c r="I4" s="15">
        <v>32874</v>
      </c>
      <c r="J4" s="16">
        <f t="shared" ref="J4:J17" ca="1" si="0">(TODAY()-I4)/365</f>
        <v>36.238356164383561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13"/>
      <c r="AB4" s="13"/>
      <c r="AC4" s="13"/>
      <c r="AD4" s="13"/>
      <c r="AE4" s="13"/>
      <c r="AF4" s="15"/>
      <c r="AG4" s="15"/>
      <c r="AH4" s="15">
        <v>44927</v>
      </c>
      <c r="AI4" s="15"/>
      <c r="AJ4" s="13"/>
      <c r="AK4" s="15"/>
      <c r="AL4" s="17" t="str">
        <f t="shared" ref="AL4" ca="1" si="1">DATEDIF(AH4,TODAY(),"y")&amp;"Tahun"&amp; DATEDIF(AH4,TODAY(),"YM")&amp;"Bulan" &amp; DATEDIF(AH4,TODAY(),"MD")&amp;"Hari"</f>
        <v>3Tahun2Bulan19Hari</v>
      </c>
      <c r="AM4" s="13"/>
      <c r="AN4" s="13"/>
      <c r="AO4" s="13"/>
      <c r="AP4" s="25" t="s">
        <v>60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8"/>
      <c r="BD4" s="18"/>
      <c r="BE4" s="18"/>
      <c r="BF4" s="25"/>
      <c r="BG4" s="25"/>
    </row>
    <row r="5" spans="1:59">
      <c r="A5" s="26" t="s">
        <v>57</v>
      </c>
      <c r="B5" s="26" t="s">
        <v>57</v>
      </c>
      <c r="C5" s="26" t="s">
        <v>57</v>
      </c>
      <c r="D5" s="13" t="s">
        <v>61</v>
      </c>
      <c r="E5" s="13">
        <v>2</v>
      </c>
      <c r="F5" s="25" t="s">
        <v>62</v>
      </c>
      <c r="G5" s="25"/>
      <c r="H5" s="25"/>
      <c r="I5" s="15">
        <v>32874</v>
      </c>
      <c r="J5" s="16">
        <f t="shared" ca="1" si="0"/>
        <v>36.238356164383561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15"/>
      <c r="AG5" s="25"/>
      <c r="AH5" s="15">
        <v>44927</v>
      </c>
      <c r="AI5" s="15"/>
      <c r="AJ5" s="25"/>
      <c r="AK5" s="15"/>
      <c r="AL5" s="13" t="str">
        <f t="shared" ref="AL5:AL17" ca="1" si="2">DATEDIF(AH5,TODAY(),"y")&amp;"Tahun"&amp; DATEDIF(AH5,TODAY(),"YM")&amp;"Bulan" &amp; DATEDIF(AH5,TODAY(),"MD")&amp;"Hari"</f>
        <v>3Tahun2Bulan19Hari</v>
      </c>
      <c r="AM5" s="25"/>
      <c r="AN5" s="25"/>
      <c r="AO5" s="25"/>
      <c r="AP5" s="25" t="s">
        <v>63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</row>
    <row r="6" spans="1:59">
      <c r="A6" s="26" t="s">
        <v>57</v>
      </c>
      <c r="B6" s="26" t="s">
        <v>57</v>
      </c>
      <c r="C6" s="26" t="s">
        <v>57</v>
      </c>
      <c r="D6" s="13" t="s">
        <v>64</v>
      </c>
      <c r="E6" s="13">
        <v>3</v>
      </c>
      <c r="F6" s="14" t="s">
        <v>65</v>
      </c>
      <c r="G6" s="25"/>
      <c r="H6" s="25"/>
      <c r="I6" s="15">
        <v>32874</v>
      </c>
      <c r="J6" s="16">
        <f t="shared" ca="1" si="0"/>
        <v>36.238356164383561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15"/>
      <c r="AG6" s="25"/>
      <c r="AH6" s="15">
        <v>44927</v>
      </c>
      <c r="AI6" s="15"/>
      <c r="AJ6" s="25"/>
      <c r="AK6" s="15"/>
      <c r="AL6" s="13" t="str">
        <f t="shared" ca="1" si="2"/>
        <v>3Tahun2Bulan19Hari</v>
      </c>
      <c r="AM6" s="25"/>
      <c r="AN6" s="25"/>
      <c r="AO6" s="25"/>
      <c r="AP6" s="25" t="s">
        <v>66</v>
      </c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</row>
    <row r="7" spans="1:59">
      <c r="A7" s="26" t="s">
        <v>57</v>
      </c>
      <c r="B7" s="26" t="s">
        <v>57</v>
      </c>
      <c r="C7" s="26" t="s">
        <v>57</v>
      </c>
      <c r="D7" s="13" t="s">
        <v>67</v>
      </c>
      <c r="E7" s="13">
        <v>4</v>
      </c>
      <c r="F7" s="25" t="s">
        <v>68</v>
      </c>
      <c r="G7" s="25"/>
      <c r="H7" s="25"/>
      <c r="I7" s="15">
        <v>32874</v>
      </c>
      <c r="J7" s="16">
        <f t="shared" ca="1" si="0"/>
        <v>36.238356164383561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15"/>
      <c r="AG7" s="25"/>
      <c r="AH7" s="15">
        <v>44927</v>
      </c>
      <c r="AI7" s="15"/>
      <c r="AJ7" s="25"/>
      <c r="AK7" s="15"/>
      <c r="AL7" s="13" t="str">
        <f t="shared" ca="1" si="2"/>
        <v>3Tahun2Bulan19Hari</v>
      </c>
      <c r="AM7" s="25"/>
      <c r="AN7" s="25"/>
      <c r="AO7" s="25"/>
      <c r="AP7" s="25" t="s">
        <v>69</v>
      </c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</row>
    <row r="8" spans="1:59">
      <c r="A8" s="26" t="s">
        <v>57</v>
      </c>
      <c r="B8" s="26" t="s">
        <v>57</v>
      </c>
      <c r="C8" s="26" t="s">
        <v>57</v>
      </c>
      <c r="D8" s="13" t="s">
        <v>70</v>
      </c>
      <c r="E8" s="13">
        <v>5</v>
      </c>
      <c r="F8" s="14" t="s">
        <v>71</v>
      </c>
      <c r="G8" s="25"/>
      <c r="H8" s="25"/>
      <c r="I8" s="15">
        <v>32874</v>
      </c>
      <c r="J8" s="16">
        <f t="shared" ca="1" si="0"/>
        <v>36.238356164383561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15"/>
      <c r="AG8" s="25"/>
      <c r="AH8" s="15">
        <v>44927</v>
      </c>
      <c r="AI8" s="15"/>
      <c r="AJ8" s="25"/>
      <c r="AK8" s="15"/>
      <c r="AL8" s="13" t="str">
        <f t="shared" ca="1" si="2"/>
        <v>3Tahun2Bulan19Hari</v>
      </c>
      <c r="AM8" s="25"/>
      <c r="AN8" s="25"/>
      <c r="AO8" s="25"/>
      <c r="AP8" s="25" t="s">
        <v>72</v>
      </c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</row>
    <row r="9" spans="1:59" ht="28.9">
      <c r="A9" s="26" t="s">
        <v>57</v>
      </c>
      <c r="B9" s="26" t="s">
        <v>57</v>
      </c>
      <c r="C9" s="26" t="s">
        <v>57</v>
      </c>
      <c r="D9" s="13" t="s">
        <v>73</v>
      </c>
      <c r="E9" s="13">
        <v>6</v>
      </c>
      <c r="F9" s="25" t="s">
        <v>74</v>
      </c>
      <c r="G9" s="25"/>
      <c r="H9" s="25"/>
      <c r="I9" s="15">
        <v>32874</v>
      </c>
      <c r="J9" s="16">
        <f t="shared" ca="1" si="0"/>
        <v>36.238356164383561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15"/>
      <c r="AG9" s="25"/>
      <c r="AH9" s="15">
        <v>44927</v>
      </c>
      <c r="AI9" s="15"/>
      <c r="AJ9" s="25"/>
      <c r="AK9" s="15"/>
      <c r="AL9" s="13" t="str">
        <f t="shared" ca="1" si="2"/>
        <v>3Tahun2Bulan19Hari</v>
      </c>
      <c r="AM9" s="25"/>
      <c r="AN9" s="25"/>
      <c r="AO9" s="25"/>
      <c r="AP9" s="25" t="s">
        <v>75</v>
      </c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</row>
    <row r="10" spans="1:59">
      <c r="A10" s="26" t="s">
        <v>57</v>
      </c>
      <c r="B10" s="26" t="s">
        <v>57</v>
      </c>
      <c r="C10" s="26" t="s">
        <v>57</v>
      </c>
      <c r="D10" s="13" t="s">
        <v>76</v>
      </c>
      <c r="E10" s="13">
        <v>7</v>
      </c>
      <c r="F10" s="14" t="s">
        <v>77</v>
      </c>
      <c r="G10" s="25"/>
      <c r="H10" s="25"/>
      <c r="I10" s="15">
        <v>32874</v>
      </c>
      <c r="J10" s="16">
        <f t="shared" ca="1" si="0"/>
        <v>36.238356164383561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15"/>
      <c r="AG10" s="25"/>
      <c r="AH10" s="15">
        <v>44927</v>
      </c>
      <c r="AI10" s="15"/>
      <c r="AJ10" s="25"/>
      <c r="AK10" s="15"/>
      <c r="AL10" s="13" t="str">
        <f t="shared" ca="1" si="2"/>
        <v>3Tahun2Bulan19Hari</v>
      </c>
      <c r="AM10" s="25"/>
      <c r="AN10" s="25"/>
      <c r="AO10" s="25"/>
      <c r="AP10" s="25" t="s">
        <v>78</v>
      </c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</row>
    <row r="11" spans="1:59">
      <c r="A11" s="26" t="s">
        <v>57</v>
      </c>
      <c r="B11" s="26" t="s">
        <v>57</v>
      </c>
      <c r="C11" s="26" t="s">
        <v>57</v>
      </c>
      <c r="D11" s="13" t="s">
        <v>79</v>
      </c>
      <c r="E11" s="13">
        <v>8</v>
      </c>
      <c r="F11" s="25" t="s">
        <v>80</v>
      </c>
      <c r="G11" s="25"/>
      <c r="H11" s="25"/>
      <c r="I11" s="15">
        <v>32874</v>
      </c>
      <c r="J11" s="16">
        <f t="shared" ca="1" si="0"/>
        <v>36.238356164383561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15"/>
      <c r="AG11" s="25"/>
      <c r="AH11" s="15">
        <v>44927</v>
      </c>
      <c r="AI11" s="15"/>
      <c r="AJ11" s="25"/>
      <c r="AK11" s="15"/>
      <c r="AL11" s="13" t="str">
        <f t="shared" ca="1" si="2"/>
        <v>3Tahun2Bulan19Hari</v>
      </c>
      <c r="AM11" s="25"/>
      <c r="AN11" s="25"/>
      <c r="AO11" s="25"/>
      <c r="AP11" s="25" t="s">
        <v>81</v>
      </c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</row>
    <row r="12" spans="1:59">
      <c r="A12" s="26" t="s">
        <v>57</v>
      </c>
      <c r="B12" s="26" t="s">
        <v>57</v>
      </c>
      <c r="C12" s="26" t="s">
        <v>57</v>
      </c>
      <c r="D12" s="13" t="s">
        <v>82</v>
      </c>
      <c r="E12" s="13">
        <v>9</v>
      </c>
      <c r="F12" s="14" t="s">
        <v>83</v>
      </c>
      <c r="G12" s="25"/>
      <c r="H12" s="25"/>
      <c r="I12" s="15">
        <v>32874</v>
      </c>
      <c r="J12" s="16">
        <f t="shared" ca="1" si="0"/>
        <v>36.238356164383561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15"/>
      <c r="AG12" s="25"/>
      <c r="AH12" s="15">
        <v>44927</v>
      </c>
      <c r="AI12" s="15"/>
      <c r="AJ12" s="25"/>
      <c r="AK12" s="15"/>
      <c r="AL12" s="13" t="str">
        <f t="shared" ca="1" si="2"/>
        <v>3Tahun2Bulan19Hari</v>
      </c>
      <c r="AM12" s="25"/>
      <c r="AN12" s="25"/>
      <c r="AO12" s="25"/>
      <c r="AP12" s="25" t="s">
        <v>84</v>
      </c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</row>
    <row r="13" spans="1:59">
      <c r="A13" s="26" t="s">
        <v>57</v>
      </c>
      <c r="B13" s="26" t="s">
        <v>57</v>
      </c>
      <c r="C13" s="26" t="s">
        <v>57</v>
      </c>
      <c r="D13" s="13" t="s">
        <v>85</v>
      </c>
      <c r="E13" s="13">
        <v>10</v>
      </c>
      <c r="F13" s="25" t="s">
        <v>86</v>
      </c>
      <c r="G13" s="25"/>
      <c r="H13" s="25"/>
      <c r="I13" s="15">
        <v>32874</v>
      </c>
      <c r="J13" s="16">
        <f t="shared" ca="1" si="0"/>
        <v>36.238356164383561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15"/>
      <c r="AG13" s="25"/>
      <c r="AH13" s="15">
        <v>44927</v>
      </c>
      <c r="AI13" s="15"/>
      <c r="AJ13" s="25"/>
      <c r="AK13" s="15"/>
      <c r="AL13" s="13" t="str">
        <f t="shared" ca="1" si="2"/>
        <v>3Tahun2Bulan19Hari</v>
      </c>
      <c r="AM13" s="25"/>
      <c r="AN13" s="25"/>
      <c r="AO13" s="25"/>
      <c r="AP13" s="25" t="s">
        <v>87</v>
      </c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</row>
    <row r="14" spans="1:59">
      <c r="A14" s="26" t="s">
        <v>57</v>
      </c>
      <c r="B14" s="26" t="s">
        <v>57</v>
      </c>
      <c r="C14" s="26" t="s">
        <v>57</v>
      </c>
      <c r="D14" s="13" t="s">
        <v>88</v>
      </c>
      <c r="E14" s="13">
        <v>11</v>
      </c>
      <c r="F14" s="14" t="s">
        <v>89</v>
      </c>
      <c r="G14" s="25"/>
      <c r="H14" s="25"/>
      <c r="I14" s="15">
        <v>32874</v>
      </c>
      <c r="J14" s="16">
        <f t="shared" ca="1" si="0"/>
        <v>36.238356164383561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15"/>
      <c r="AG14" s="25"/>
      <c r="AH14" s="15">
        <v>44927</v>
      </c>
      <c r="AI14" s="15"/>
      <c r="AJ14" s="25"/>
      <c r="AK14" s="15"/>
      <c r="AL14" s="13" t="str">
        <f t="shared" ca="1" si="2"/>
        <v>3Tahun2Bulan19Hari</v>
      </c>
      <c r="AM14" s="25"/>
      <c r="AN14" s="25"/>
      <c r="AO14" s="25"/>
      <c r="AP14" s="25" t="s">
        <v>90</v>
      </c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</row>
    <row r="15" spans="1:59">
      <c r="A15" s="26" t="s">
        <v>57</v>
      </c>
      <c r="B15" s="26" t="s">
        <v>57</v>
      </c>
      <c r="C15" s="26" t="s">
        <v>57</v>
      </c>
      <c r="D15" s="13" t="s">
        <v>91</v>
      </c>
      <c r="E15" s="13">
        <v>12</v>
      </c>
      <c r="F15" s="25" t="s">
        <v>92</v>
      </c>
      <c r="G15" s="25"/>
      <c r="H15" s="25"/>
      <c r="I15" s="15">
        <v>32874</v>
      </c>
      <c r="J15" s="16">
        <f t="shared" ca="1" si="0"/>
        <v>36.238356164383561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15"/>
      <c r="AG15" s="25"/>
      <c r="AH15" s="15">
        <v>44927</v>
      </c>
      <c r="AI15" s="15"/>
      <c r="AJ15" s="25"/>
      <c r="AK15" s="15"/>
      <c r="AL15" s="13" t="str">
        <f t="shared" ca="1" si="2"/>
        <v>3Tahun2Bulan19Hari</v>
      </c>
      <c r="AM15" s="25"/>
      <c r="AN15" s="25"/>
      <c r="AO15" s="25"/>
      <c r="AP15" s="25" t="s">
        <v>93</v>
      </c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</row>
    <row r="16" spans="1:59" ht="28.9">
      <c r="A16" s="26" t="s">
        <v>57</v>
      </c>
      <c r="B16" s="26" t="s">
        <v>57</v>
      </c>
      <c r="C16" s="26" t="s">
        <v>57</v>
      </c>
      <c r="D16" s="13" t="s">
        <v>94</v>
      </c>
      <c r="E16" s="13">
        <v>13</v>
      </c>
      <c r="F16" s="14" t="s">
        <v>95</v>
      </c>
      <c r="G16" s="25"/>
      <c r="H16" s="25"/>
      <c r="I16" s="15">
        <v>32874</v>
      </c>
      <c r="J16" s="16">
        <f t="shared" ca="1" si="0"/>
        <v>36.238356164383561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15"/>
      <c r="AG16" s="25"/>
      <c r="AH16" s="15">
        <v>44927</v>
      </c>
      <c r="AI16" s="15"/>
      <c r="AJ16" s="25"/>
      <c r="AK16" s="15"/>
      <c r="AL16" s="13" t="str">
        <f t="shared" ca="1" si="2"/>
        <v>3Tahun2Bulan19Hari</v>
      </c>
      <c r="AM16" s="25"/>
      <c r="AN16" s="25"/>
      <c r="AO16" s="25"/>
      <c r="AP16" s="25" t="s">
        <v>96</v>
      </c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</row>
    <row r="17" spans="1:59" ht="28.9">
      <c r="A17" s="26" t="s">
        <v>57</v>
      </c>
      <c r="B17" s="26" t="s">
        <v>57</v>
      </c>
      <c r="C17" s="26" t="s">
        <v>57</v>
      </c>
      <c r="D17" s="13" t="s">
        <v>97</v>
      </c>
      <c r="E17" s="13">
        <v>14</v>
      </c>
      <c r="F17" s="25" t="s">
        <v>98</v>
      </c>
      <c r="G17" s="25"/>
      <c r="H17" s="25"/>
      <c r="I17" s="15">
        <v>32874</v>
      </c>
      <c r="J17" s="16">
        <f t="shared" ca="1" si="0"/>
        <v>36.238356164383561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15"/>
      <c r="AG17" s="25"/>
      <c r="AH17" s="15">
        <v>44927</v>
      </c>
      <c r="AI17" s="15"/>
      <c r="AJ17" s="25"/>
      <c r="AK17" s="15"/>
      <c r="AL17" s="13" t="str">
        <f t="shared" ca="1" si="2"/>
        <v>3Tahun2Bulan19Hari</v>
      </c>
      <c r="AM17" s="25"/>
      <c r="AN17" s="25"/>
      <c r="AO17" s="25"/>
      <c r="AP17" s="25" t="s">
        <v>99</v>
      </c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</row>
  </sheetData>
  <mergeCells count="1">
    <mergeCell ref="D1:E1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F70-BC0D-46C4-BBEA-17BDAFC44C83}">
  <dimension ref="A1:AS17"/>
  <sheetViews>
    <sheetView workbookViewId="0">
      <pane xSplit="5" ySplit="3" topLeftCell="AI4" activePane="bottomRight" state="frozen"/>
      <selection pane="bottomRight" activeCell="E4" sqref="E4:E17"/>
      <selection pane="bottomLeft" activeCell="A4" sqref="A4"/>
      <selection pane="topRight" activeCell="F1" sqref="F1"/>
    </sheetView>
  </sheetViews>
  <sheetFormatPr defaultRowHeight="14.45"/>
  <cols>
    <col min="1" max="1" width="17.7109375" bestFit="1" customWidth="1"/>
    <col min="2" max="2" width="20.140625" bestFit="1" customWidth="1"/>
    <col min="3" max="3" width="15.7109375" customWidth="1"/>
    <col min="4" max="4" width="12.7109375" bestFit="1" customWidth="1"/>
    <col min="5" max="5" width="19.85546875" bestFit="1" customWidth="1"/>
    <col min="6" max="6" width="11.85546875" bestFit="1" customWidth="1"/>
    <col min="7" max="7" width="16.85546875" bestFit="1" customWidth="1"/>
    <col min="8" max="8" width="16.28515625" bestFit="1" customWidth="1"/>
    <col min="9" max="9" width="8.5703125" bestFit="1" customWidth="1"/>
    <col min="10" max="10" width="17.42578125" bestFit="1" customWidth="1"/>
    <col min="11" max="11" width="14.28515625" bestFit="1" customWidth="1"/>
    <col min="12" max="12" width="12.7109375" bestFit="1" customWidth="1"/>
    <col min="13" max="14" width="15" bestFit="1" customWidth="1"/>
    <col min="15" max="15" width="17.42578125" bestFit="1" customWidth="1"/>
    <col min="16" max="16" width="33" bestFit="1" customWidth="1"/>
    <col min="17" max="17" width="17.28515625" bestFit="1" customWidth="1"/>
    <col min="18" max="18" width="63" bestFit="1" customWidth="1"/>
    <col min="19" max="19" width="12.7109375" bestFit="1" customWidth="1"/>
    <col min="20" max="20" width="15.7109375" bestFit="1" customWidth="1"/>
    <col min="21" max="21" width="17.28515625" bestFit="1" customWidth="1"/>
    <col min="22" max="22" width="14.140625" bestFit="1" customWidth="1"/>
    <col min="23" max="23" width="14.140625" customWidth="1"/>
    <col min="24" max="24" width="17.85546875" bestFit="1" customWidth="1"/>
    <col min="25" max="25" width="13.42578125" bestFit="1" customWidth="1"/>
    <col min="26" max="26" width="22.7109375" bestFit="1" customWidth="1"/>
    <col min="27" max="27" width="16.7109375" bestFit="1" customWidth="1"/>
    <col min="28" max="28" width="21.28515625" bestFit="1" customWidth="1"/>
    <col min="29" max="29" width="19.7109375" bestFit="1" customWidth="1"/>
    <col min="30" max="30" width="18" bestFit="1" customWidth="1"/>
    <col min="31" max="31" width="16.85546875" bestFit="1" customWidth="1"/>
    <col min="32" max="32" width="16" bestFit="1" customWidth="1"/>
    <col min="33" max="33" width="16.85546875" bestFit="1" customWidth="1"/>
    <col min="34" max="34" width="17.28515625" bestFit="1" customWidth="1"/>
    <col min="35" max="35" width="23.28515625" bestFit="1" customWidth="1"/>
    <col min="36" max="36" width="10.7109375" bestFit="1" customWidth="1"/>
    <col min="37" max="37" width="18.42578125" bestFit="1" customWidth="1"/>
    <col min="38" max="38" width="16.140625" bestFit="1" customWidth="1"/>
    <col min="39" max="39" width="14.85546875" bestFit="1" customWidth="1"/>
    <col min="40" max="40" width="16.140625" bestFit="1" customWidth="1"/>
    <col min="41" max="41" width="17.28515625" customWidth="1"/>
    <col min="42" max="42" width="13.42578125" bestFit="1" customWidth="1"/>
    <col min="43" max="43" width="16.85546875" bestFit="1" customWidth="1"/>
    <col min="44" max="44" width="12.7109375" bestFit="1" customWidth="1"/>
    <col min="45" max="45" width="14.28515625" bestFit="1" customWidth="1"/>
  </cols>
  <sheetData>
    <row r="1" spans="1:45" ht="63">
      <c r="B1" s="1"/>
      <c r="C1" s="27">
        <f>COUNTA(Employee_CH_Act[Emp. ID])</f>
        <v>14</v>
      </c>
      <c r="D1" s="27"/>
      <c r="E1" s="2"/>
      <c r="F1" s="3"/>
      <c r="G1" s="4"/>
      <c r="H1" s="5"/>
      <c r="I1" s="6"/>
      <c r="J1" s="4"/>
      <c r="K1" s="4"/>
      <c r="L1" s="4"/>
      <c r="M1" s="4"/>
      <c r="N1" s="4"/>
      <c r="O1" s="4"/>
      <c r="P1" s="7"/>
      <c r="Q1" s="4"/>
      <c r="R1" s="8"/>
      <c r="S1" s="4"/>
      <c r="T1" s="4"/>
      <c r="U1" s="4"/>
      <c r="V1" s="4"/>
      <c r="W1" s="4"/>
      <c r="X1" s="5"/>
      <c r="Y1" s="5"/>
      <c r="Z1" s="4"/>
      <c r="AA1" s="5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3" spans="1:45" s="22" customFormat="1" ht="30" customHeight="1">
      <c r="A3" s="22" t="s">
        <v>0</v>
      </c>
      <c r="B3" s="22" t="s">
        <v>112</v>
      </c>
      <c r="C3" s="22" t="s">
        <v>113</v>
      </c>
      <c r="D3" s="22" t="s">
        <v>3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22</v>
      </c>
      <c r="Q3" s="22" t="s">
        <v>24</v>
      </c>
      <c r="R3" s="22" t="s">
        <v>25</v>
      </c>
      <c r="S3" s="22" t="s">
        <v>26</v>
      </c>
      <c r="T3" s="22" t="s">
        <v>27</v>
      </c>
      <c r="U3" s="22" t="s">
        <v>28</v>
      </c>
      <c r="V3" s="22" t="s">
        <v>29</v>
      </c>
      <c r="W3" s="22" t="s">
        <v>30</v>
      </c>
      <c r="X3" s="22" t="s">
        <v>33</v>
      </c>
      <c r="Y3" s="22" t="s">
        <v>34</v>
      </c>
      <c r="Z3" s="22" t="s">
        <v>35</v>
      </c>
      <c r="AA3" s="22" t="s">
        <v>36</v>
      </c>
      <c r="AB3" s="22" t="s">
        <v>37</v>
      </c>
      <c r="AC3" s="22" t="s">
        <v>114</v>
      </c>
      <c r="AD3" s="22" t="s">
        <v>115</v>
      </c>
      <c r="AE3" s="22" t="s">
        <v>40</v>
      </c>
      <c r="AF3" s="22" t="s">
        <v>41</v>
      </c>
      <c r="AG3" s="22" t="s">
        <v>42</v>
      </c>
      <c r="AH3" s="22" t="s">
        <v>43</v>
      </c>
      <c r="AI3" s="22" t="s">
        <v>44</v>
      </c>
      <c r="AJ3" s="22" t="s">
        <v>45</v>
      </c>
      <c r="AK3" s="22" t="s">
        <v>46</v>
      </c>
      <c r="AL3" s="22" t="s">
        <v>51</v>
      </c>
      <c r="AM3" s="22" t="s">
        <v>52</v>
      </c>
      <c r="AN3" s="22" t="s">
        <v>53</v>
      </c>
      <c r="AO3" s="22" t="s">
        <v>54</v>
      </c>
      <c r="AP3" s="22" t="s">
        <v>116</v>
      </c>
      <c r="AQ3" s="22" t="s">
        <v>117</v>
      </c>
      <c r="AR3" s="22" t="s">
        <v>55</v>
      </c>
      <c r="AS3" s="22" t="s">
        <v>56</v>
      </c>
    </row>
    <row r="4" spans="1:45" ht="28.9">
      <c r="A4" s="26" t="s">
        <v>57</v>
      </c>
      <c r="B4" s="26" t="s">
        <v>57</v>
      </c>
      <c r="C4" s="26" t="s">
        <v>57</v>
      </c>
      <c r="D4" s="13" t="s">
        <v>58</v>
      </c>
      <c r="E4" s="14" t="s">
        <v>59</v>
      </c>
      <c r="F4" s="14" t="s">
        <v>59</v>
      </c>
      <c r="H4" s="15">
        <v>32874</v>
      </c>
      <c r="I4" s="20">
        <f t="shared" ref="I4" ca="1" si="0">(TODAY()-H4)/365</f>
        <v>36.238356164383561</v>
      </c>
      <c r="X4" s="15">
        <v>44927</v>
      </c>
      <c r="Y4" s="19"/>
      <c r="AB4" t="str">
        <f t="shared" ref="AB4" ca="1" si="1">DATEDIF(X4,TODAY(),"y")&amp;"Tahun"&amp; DATEDIF(X4,TODAY(),"YM")&amp;"Bulan" &amp; DATEDIF(X4,TODAY(),"MD")&amp;"Hari"</f>
        <v>3Tahun2Bulan19Hari</v>
      </c>
      <c r="AF4" s="14" t="s">
        <v>60</v>
      </c>
    </row>
    <row r="5" spans="1:45">
      <c r="A5" s="26" t="s">
        <v>57</v>
      </c>
      <c r="B5" s="26" t="s">
        <v>57</v>
      </c>
      <c r="C5" s="26" t="s">
        <v>57</v>
      </c>
      <c r="D5" s="13" t="s">
        <v>61</v>
      </c>
      <c r="E5" s="25" t="s">
        <v>62</v>
      </c>
      <c r="F5" s="25" t="s">
        <v>62</v>
      </c>
      <c r="H5" s="15">
        <v>32874</v>
      </c>
      <c r="I5" s="20">
        <f t="shared" ref="I5:I17" ca="1" si="2">(TODAY()-H5)/365</f>
        <v>36.238356164383561</v>
      </c>
      <c r="X5" s="15">
        <v>44927</v>
      </c>
      <c r="Y5" s="19"/>
      <c r="AB5" t="str">
        <f t="shared" ref="AB5:AB17" ca="1" si="3">DATEDIF(X5,TODAY(),"y")&amp;"Tahun"&amp; DATEDIF(X5,TODAY(),"YM")&amp;"Bulan" &amp; DATEDIF(X5,TODAY(),"MD")&amp;"Hari"</f>
        <v>3Tahun2Bulan19Hari</v>
      </c>
      <c r="AF5" s="14" t="s">
        <v>63</v>
      </c>
    </row>
    <row r="6" spans="1:45">
      <c r="A6" s="26" t="s">
        <v>57</v>
      </c>
      <c r="B6" s="26" t="s">
        <v>57</v>
      </c>
      <c r="C6" s="26" t="s">
        <v>57</v>
      </c>
      <c r="D6" s="13" t="s">
        <v>64</v>
      </c>
      <c r="E6" s="14" t="s">
        <v>65</v>
      </c>
      <c r="F6" s="14" t="s">
        <v>65</v>
      </c>
      <c r="H6" s="15">
        <v>32874</v>
      </c>
      <c r="I6" s="20">
        <f t="shared" ca="1" si="2"/>
        <v>36.238356164383561</v>
      </c>
      <c r="X6" s="15">
        <v>44927</v>
      </c>
      <c r="Y6" s="19"/>
      <c r="AB6" t="str">
        <f t="shared" ca="1" si="3"/>
        <v>3Tahun2Bulan19Hari</v>
      </c>
      <c r="AF6" s="14" t="s">
        <v>66</v>
      </c>
    </row>
    <row r="7" spans="1:45">
      <c r="A7" s="26" t="s">
        <v>57</v>
      </c>
      <c r="B7" s="26" t="s">
        <v>57</v>
      </c>
      <c r="C7" s="26" t="s">
        <v>57</v>
      </c>
      <c r="D7" s="13" t="s">
        <v>67</v>
      </c>
      <c r="E7" s="25" t="s">
        <v>68</v>
      </c>
      <c r="F7" s="25" t="s">
        <v>68</v>
      </c>
      <c r="H7" s="15">
        <v>32874</v>
      </c>
      <c r="I7" s="20">
        <f t="shared" ca="1" si="2"/>
        <v>36.238356164383561</v>
      </c>
      <c r="X7" s="15">
        <v>44927</v>
      </c>
      <c r="Y7" s="19"/>
      <c r="AB7" t="str">
        <f t="shared" ca="1" si="3"/>
        <v>3Tahun2Bulan19Hari</v>
      </c>
      <c r="AF7" s="14" t="s">
        <v>69</v>
      </c>
    </row>
    <row r="8" spans="1:45">
      <c r="A8" s="26" t="s">
        <v>57</v>
      </c>
      <c r="B8" s="26" t="s">
        <v>57</v>
      </c>
      <c r="C8" s="26" t="s">
        <v>57</v>
      </c>
      <c r="D8" s="13" t="s">
        <v>70</v>
      </c>
      <c r="E8" s="14" t="s">
        <v>71</v>
      </c>
      <c r="F8" s="14" t="s">
        <v>71</v>
      </c>
      <c r="H8" s="15">
        <v>32874</v>
      </c>
      <c r="I8" s="20">
        <f t="shared" ca="1" si="2"/>
        <v>36.238356164383561</v>
      </c>
      <c r="X8" s="15">
        <v>44927</v>
      </c>
      <c r="Y8" s="19"/>
      <c r="AB8" t="str">
        <f t="shared" ca="1" si="3"/>
        <v>3Tahun2Bulan19Hari</v>
      </c>
      <c r="AF8" s="14" t="s">
        <v>72</v>
      </c>
    </row>
    <row r="9" spans="1:45" ht="28.9">
      <c r="A9" s="26" t="s">
        <v>57</v>
      </c>
      <c r="B9" s="26" t="s">
        <v>57</v>
      </c>
      <c r="C9" s="26" t="s">
        <v>57</v>
      </c>
      <c r="D9" s="13" t="s">
        <v>73</v>
      </c>
      <c r="E9" s="25" t="s">
        <v>74</v>
      </c>
      <c r="F9" s="25" t="s">
        <v>74</v>
      </c>
      <c r="H9" s="15">
        <v>32874</v>
      </c>
      <c r="I9" s="20">
        <f t="shared" ca="1" si="2"/>
        <v>36.238356164383561</v>
      </c>
      <c r="X9" s="15">
        <v>44927</v>
      </c>
      <c r="Y9" s="19"/>
      <c r="AB9" t="str">
        <f t="shared" ca="1" si="3"/>
        <v>3Tahun2Bulan19Hari</v>
      </c>
      <c r="AF9" s="14" t="s">
        <v>75</v>
      </c>
    </row>
    <row r="10" spans="1:45">
      <c r="A10" s="26" t="s">
        <v>57</v>
      </c>
      <c r="B10" s="26" t="s">
        <v>57</v>
      </c>
      <c r="C10" s="26" t="s">
        <v>57</v>
      </c>
      <c r="D10" s="13" t="s">
        <v>76</v>
      </c>
      <c r="E10" s="14" t="s">
        <v>77</v>
      </c>
      <c r="F10" s="14" t="s">
        <v>77</v>
      </c>
      <c r="H10" s="15">
        <v>32874</v>
      </c>
      <c r="I10" s="20">
        <f t="shared" ca="1" si="2"/>
        <v>36.238356164383561</v>
      </c>
      <c r="X10" s="15">
        <v>44927</v>
      </c>
      <c r="Y10" s="19"/>
      <c r="AB10" t="str">
        <f t="shared" ca="1" si="3"/>
        <v>3Tahun2Bulan19Hari</v>
      </c>
      <c r="AF10" s="14" t="s">
        <v>78</v>
      </c>
    </row>
    <row r="11" spans="1:45">
      <c r="A11" s="26" t="s">
        <v>57</v>
      </c>
      <c r="B11" s="26" t="s">
        <v>57</v>
      </c>
      <c r="C11" s="26" t="s">
        <v>57</v>
      </c>
      <c r="D11" s="13" t="s">
        <v>79</v>
      </c>
      <c r="E11" s="25" t="s">
        <v>80</v>
      </c>
      <c r="F11" s="25" t="s">
        <v>80</v>
      </c>
      <c r="H11" s="15">
        <v>32874</v>
      </c>
      <c r="I11" s="20">
        <f t="shared" ca="1" si="2"/>
        <v>36.238356164383561</v>
      </c>
      <c r="X11" s="15">
        <v>44927</v>
      </c>
      <c r="Y11" s="19"/>
      <c r="AB11" t="str">
        <f t="shared" ca="1" si="3"/>
        <v>3Tahun2Bulan19Hari</v>
      </c>
      <c r="AF11" s="14" t="s">
        <v>81</v>
      </c>
    </row>
    <row r="12" spans="1:45">
      <c r="A12" s="26" t="s">
        <v>57</v>
      </c>
      <c r="B12" s="26" t="s">
        <v>57</v>
      </c>
      <c r="C12" s="26" t="s">
        <v>57</v>
      </c>
      <c r="D12" s="13" t="s">
        <v>82</v>
      </c>
      <c r="E12" s="14" t="s">
        <v>83</v>
      </c>
      <c r="F12" s="14" t="s">
        <v>83</v>
      </c>
      <c r="H12" s="15">
        <v>32874</v>
      </c>
      <c r="I12" s="20">
        <f t="shared" ca="1" si="2"/>
        <v>36.238356164383561</v>
      </c>
      <c r="X12" s="15">
        <v>44927</v>
      </c>
      <c r="Y12" s="19"/>
      <c r="AB12" t="str">
        <f t="shared" ca="1" si="3"/>
        <v>3Tahun2Bulan19Hari</v>
      </c>
      <c r="AF12" s="14" t="s">
        <v>84</v>
      </c>
    </row>
    <row r="13" spans="1:45">
      <c r="A13" s="26" t="s">
        <v>57</v>
      </c>
      <c r="B13" s="26" t="s">
        <v>57</v>
      </c>
      <c r="C13" s="26" t="s">
        <v>57</v>
      </c>
      <c r="D13" s="13" t="s">
        <v>85</v>
      </c>
      <c r="E13" s="25" t="s">
        <v>86</v>
      </c>
      <c r="F13" s="25" t="s">
        <v>86</v>
      </c>
      <c r="H13" s="15">
        <v>32874</v>
      </c>
      <c r="I13" s="20">
        <f t="shared" ca="1" si="2"/>
        <v>36.238356164383561</v>
      </c>
      <c r="X13" s="15">
        <v>44927</v>
      </c>
      <c r="Y13" s="19"/>
      <c r="AB13" t="str">
        <f t="shared" ca="1" si="3"/>
        <v>3Tahun2Bulan19Hari</v>
      </c>
      <c r="AF13" s="14" t="s">
        <v>87</v>
      </c>
    </row>
    <row r="14" spans="1:45">
      <c r="A14" s="26" t="s">
        <v>57</v>
      </c>
      <c r="B14" s="26" t="s">
        <v>57</v>
      </c>
      <c r="C14" s="26" t="s">
        <v>57</v>
      </c>
      <c r="D14" s="13" t="s">
        <v>88</v>
      </c>
      <c r="E14" s="14" t="s">
        <v>89</v>
      </c>
      <c r="F14" s="14" t="s">
        <v>89</v>
      </c>
      <c r="H14" s="15">
        <v>32874</v>
      </c>
      <c r="I14" s="20">
        <f t="shared" ca="1" si="2"/>
        <v>36.238356164383561</v>
      </c>
      <c r="X14" s="15">
        <v>44927</v>
      </c>
      <c r="Y14" s="19"/>
      <c r="AB14" t="str">
        <f t="shared" ca="1" si="3"/>
        <v>3Tahun2Bulan19Hari</v>
      </c>
      <c r="AF14" s="14" t="s">
        <v>90</v>
      </c>
    </row>
    <row r="15" spans="1:45">
      <c r="A15" s="26" t="s">
        <v>57</v>
      </c>
      <c r="B15" s="26" t="s">
        <v>57</v>
      </c>
      <c r="C15" s="26" t="s">
        <v>57</v>
      </c>
      <c r="D15" s="13" t="s">
        <v>91</v>
      </c>
      <c r="E15" s="25" t="s">
        <v>92</v>
      </c>
      <c r="F15" s="25" t="s">
        <v>92</v>
      </c>
      <c r="H15" s="15">
        <v>32874</v>
      </c>
      <c r="I15" s="20">
        <f t="shared" ca="1" si="2"/>
        <v>36.238356164383561</v>
      </c>
      <c r="X15" s="15">
        <v>44927</v>
      </c>
      <c r="Y15" s="19"/>
      <c r="AB15" t="str">
        <f t="shared" ca="1" si="3"/>
        <v>3Tahun2Bulan19Hari</v>
      </c>
      <c r="AF15" s="14" t="s">
        <v>93</v>
      </c>
    </row>
    <row r="16" spans="1:45" ht="28.9">
      <c r="A16" s="26" t="s">
        <v>57</v>
      </c>
      <c r="B16" s="26" t="s">
        <v>57</v>
      </c>
      <c r="C16" s="26" t="s">
        <v>57</v>
      </c>
      <c r="D16" s="13" t="s">
        <v>94</v>
      </c>
      <c r="E16" s="14" t="s">
        <v>95</v>
      </c>
      <c r="F16" s="14" t="s">
        <v>95</v>
      </c>
      <c r="H16" s="15">
        <v>32874</v>
      </c>
      <c r="I16" s="20">
        <f t="shared" ca="1" si="2"/>
        <v>36.238356164383561</v>
      </c>
      <c r="X16" s="15">
        <v>44927</v>
      </c>
      <c r="Y16" s="19"/>
      <c r="AB16" t="str">
        <f t="shared" ca="1" si="3"/>
        <v>3Tahun2Bulan19Hari</v>
      </c>
      <c r="AF16" s="14" t="s">
        <v>96</v>
      </c>
    </row>
    <row r="17" spans="1:32" ht="28.9">
      <c r="A17" s="26" t="s">
        <v>57</v>
      </c>
      <c r="B17" s="26" t="s">
        <v>57</v>
      </c>
      <c r="C17" s="26" t="s">
        <v>57</v>
      </c>
      <c r="D17" s="13" t="s">
        <v>97</v>
      </c>
      <c r="E17" s="25" t="s">
        <v>98</v>
      </c>
      <c r="F17" s="25" t="s">
        <v>98</v>
      </c>
      <c r="H17" s="15">
        <v>32874</v>
      </c>
      <c r="I17" s="20">
        <f t="shared" ca="1" si="2"/>
        <v>36.238356164383561</v>
      </c>
      <c r="X17" s="15">
        <v>44927</v>
      </c>
      <c r="Y17" s="19"/>
      <c r="AB17" t="str">
        <f t="shared" ca="1" si="3"/>
        <v>3Tahun2Bulan19Hari</v>
      </c>
      <c r="AF17" s="14" t="s">
        <v>99</v>
      </c>
    </row>
  </sheetData>
  <mergeCells count="1">
    <mergeCell ref="C1:D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6307-188D-4CCB-8610-C174AF6B7A76}">
  <dimension ref="A1:AU18"/>
  <sheetViews>
    <sheetView workbookViewId="0">
      <pane xSplit="5" ySplit="3" topLeftCell="AL4" activePane="bottomRight" state="frozen"/>
      <selection pane="bottomRight" activeCell="A18" sqref="A18:AU18"/>
      <selection pane="bottomLeft" activeCell="A4" sqref="A4"/>
      <selection pane="topRight" activeCell="F1" sqref="F1"/>
    </sheetView>
  </sheetViews>
  <sheetFormatPr defaultRowHeight="14.45"/>
  <cols>
    <col min="1" max="1" width="17.7109375" bestFit="1" customWidth="1"/>
    <col min="2" max="3" width="20.140625" bestFit="1" customWidth="1"/>
    <col min="4" max="4" width="12.7109375" bestFit="1" customWidth="1"/>
    <col min="5" max="5" width="19.85546875" bestFit="1" customWidth="1"/>
    <col min="6" max="6" width="11.85546875" bestFit="1" customWidth="1"/>
    <col min="7" max="7" width="16.85546875" bestFit="1" customWidth="1"/>
    <col min="8" max="8" width="16.28515625" bestFit="1" customWidth="1"/>
    <col min="9" max="9" width="8.5703125" bestFit="1" customWidth="1"/>
    <col min="10" max="10" width="17.42578125" bestFit="1" customWidth="1"/>
    <col min="11" max="11" width="14.28515625" bestFit="1" customWidth="1"/>
    <col min="12" max="12" width="12.7109375" bestFit="1" customWidth="1"/>
    <col min="13" max="14" width="15" bestFit="1" customWidth="1"/>
    <col min="15" max="15" width="17.42578125" bestFit="1" customWidth="1"/>
    <col min="16" max="16" width="33" bestFit="1" customWidth="1"/>
    <col min="17" max="17" width="17.28515625" bestFit="1" customWidth="1"/>
    <col min="18" max="18" width="63" bestFit="1" customWidth="1"/>
    <col min="19" max="19" width="12.7109375" bestFit="1" customWidth="1"/>
    <col min="20" max="20" width="15.7109375" bestFit="1" customWidth="1"/>
    <col min="21" max="21" width="17.28515625" bestFit="1" customWidth="1"/>
    <col min="22" max="22" width="14.140625" bestFit="1" customWidth="1"/>
    <col min="23" max="23" width="14.140625" customWidth="1"/>
    <col min="24" max="24" width="17.85546875" bestFit="1" customWidth="1"/>
    <col min="25" max="25" width="13.42578125" bestFit="1" customWidth="1"/>
    <col min="26" max="26" width="22.7109375" bestFit="1" customWidth="1"/>
    <col min="27" max="27" width="16.7109375" bestFit="1" customWidth="1"/>
    <col min="28" max="28" width="19.42578125" bestFit="1" customWidth="1"/>
    <col min="29" max="29" width="19.7109375" bestFit="1" customWidth="1"/>
    <col min="30" max="30" width="18" bestFit="1" customWidth="1"/>
    <col min="31" max="31" width="16.85546875" bestFit="1" customWidth="1"/>
    <col min="32" max="32" width="16" bestFit="1" customWidth="1"/>
    <col min="33" max="33" width="16.85546875" bestFit="1" customWidth="1"/>
    <col min="34" max="34" width="17.28515625" bestFit="1" customWidth="1"/>
    <col min="35" max="35" width="23.28515625" bestFit="1" customWidth="1"/>
    <col min="36" max="36" width="10.7109375" bestFit="1" customWidth="1"/>
    <col min="37" max="37" width="18.42578125" bestFit="1" customWidth="1"/>
    <col min="38" max="38" width="18.42578125" customWidth="1"/>
    <col min="39" max="39" width="16.140625" bestFit="1" customWidth="1"/>
    <col min="40" max="40" width="14.85546875" bestFit="1" customWidth="1"/>
    <col min="41" max="41" width="16.140625" bestFit="1" customWidth="1"/>
    <col min="42" max="42" width="16.28515625" bestFit="1" customWidth="1"/>
    <col min="43" max="43" width="13.42578125" bestFit="1" customWidth="1"/>
    <col min="44" max="44" width="16.85546875" bestFit="1" customWidth="1"/>
    <col min="45" max="46" width="15.42578125" bestFit="1" customWidth="1"/>
    <col min="47" max="47" width="14.28515625" bestFit="1" customWidth="1"/>
  </cols>
  <sheetData>
    <row r="1" spans="1:47" ht="63">
      <c r="B1" s="1"/>
      <c r="C1" s="27">
        <f>COUNTA(Employee_CH_NA[Emp. ID])</f>
        <v>15</v>
      </c>
      <c r="D1" s="27"/>
      <c r="E1" s="2"/>
      <c r="F1" s="3"/>
      <c r="G1" s="4"/>
      <c r="H1" s="5"/>
      <c r="I1" s="6"/>
      <c r="J1" s="4"/>
      <c r="K1" s="4"/>
      <c r="L1" s="4"/>
      <c r="M1" s="4"/>
      <c r="N1" s="4"/>
      <c r="O1" s="4"/>
      <c r="P1" s="7"/>
      <c r="Q1" s="4"/>
      <c r="R1" s="8"/>
      <c r="S1" s="4"/>
      <c r="T1" s="4"/>
      <c r="U1" s="4"/>
      <c r="V1" s="4"/>
      <c r="W1" s="4"/>
      <c r="X1" s="5"/>
      <c r="Y1" s="5"/>
      <c r="Z1" s="4"/>
      <c r="AA1" s="5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3" spans="1:47" s="22" customFormat="1" ht="30" customHeight="1">
      <c r="A3" s="22" t="s">
        <v>0</v>
      </c>
      <c r="B3" s="22" t="s">
        <v>112</v>
      </c>
      <c r="C3" s="22" t="s">
        <v>113</v>
      </c>
      <c r="D3" s="22" t="s">
        <v>3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22</v>
      </c>
      <c r="Q3" s="22" t="s">
        <v>24</v>
      </c>
      <c r="R3" s="22" t="s">
        <v>25</v>
      </c>
      <c r="S3" s="22" t="s">
        <v>26</v>
      </c>
      <c r="T3" s="22" t="s">
        <v>27</v>
      </c>
      <c r="U3" s="22" t="s">
        <v>28</v>
      </c>
      <c r="V3" s="22" t="s">
        <v>29</v>
      </c>
      <c r="W3" s="22" t="s">
        <v>30</v>
      </c>
      <c r="X3" s="22" t="s">
        <v>33</v>
      </c>
      <c r="Y3" s="22" t="s">
        <v>34</v>
      </c>
      <c r="Z3" s="22" t="s">
        <v>35</v>
      </c>
      <c r="AA3" s="22" t="s">
        <v>36</v>
      </c>
      <c r="AB3" s="22" t="s">
        <v>37</v>
      </c>
      <c r="AC3" s="22" t="s">
        <v>114</v>
      </c>
      <c r="AD3" s="22" t="s">
        <v>115</v>
      </c>
      <c r="AE3" s="22" t="s">
        <v>40</v>
      </c>
      <c r="AF3" s="22" t="s">
        <v>41</v>
      </c>
      <c r="AG3" s="22" t="s">
        <v>42</v>
      </c>
      <c r="AH3" s="22" t="s">
        <v>43</v>
      </c>
      <c r="AI3" s="22" t="s">
        <v>44</v>
      </c>
      <c r="AJ3" s="22" t="s">
        <v>45</v>
      </c>
      <c r="AK3" s="22" t="s">
        <v>46</v>
      </c>
      <c r="AL3" s="22" t="s">
        <v>47</v>
      </c>
      <c r="AM3" s="22" t="s">
        <v>51</v>
      </c>
      <c r="AN3" s="22" t="s">
        <v>52</v>
      </c>
      <c r="AO3" s="22" t="s">
        <v>53</v>
      </c>
      <c r="AP3" s="22" t="s">
        <v>54</v>
      </c>
      <c r="AQ3" s="22" t="s">
        <v>116</v>
      </c>
      <c r="AR3" s="22" t="s">
        <v>117</v>
      </c>
      <c r="AS3" s="22" t="s">
        <v>107</v>
      </c>
      <c r="AT3" s="22" t="s">
        <v>108</v>
      </c>
      <c r="AU3" s="22" t="s">
        <v>109</v>
      </c>
    </row>
    <row r="4" spans="1:47" ht="28.9">
      <c r="A4" s="26" t="s">
        <v>57</v>
      </c>
      <c r="B4" s="26" t="s">
        <v>57</v>
      </c>
      <c r="C4" s="26" t="s">
        <v>57</v>
      </c>
      <c r="D4" s="13" t="s">
        <v>58</v>
      </c>
      <c r="E4" s="14" t="s">
        <v>59</v>
      </c>
      <c r="F4" s="14" t="s">
        <v>59</v>
      </c>
      <c r="H4" s="15">
        <v>32874</v>
      </c>
      <c r="I4" s="20">
        <f t="shared" ref="I4" ca="1" si="0">(TODAY()-H4)/365</f>
        <v>36.238356164383561</v>
      </c>
      <c r="X4" s="15">
        <v>44927</v>
      </c>
      <c r="Y4" s="19"/>
      <c r="AB4" t="str">
        <f t="shared" ref="AB4" ca="1" si="1">DATEDIF(X4,TODAY(),"y")&amp;"Tahun"&amp; DATEDIF(X4,TODAY(),"YM")&amp;"Bulan" &amp; DATEDIF(X4,TODAY(),"MD")&amp;"Hari"</f>
        <v>3Tahun2Bulan19Hari</v>
      </c>
      <c r="AF4" s="14" t="s">
        <v>60</v>
      </c>
    </row>
    <row r="5" spans="1:47">
      <c r="A5" s="26" t="s">
        <v>57</v>
      </c>
      <c r="B5" s="26" t="s">
        <v>57</v>
      </c>
      <c r="C5" s="26" t="s">
        <v>57</v>
      </c>
      <c r="D5" s="13" t="s">
        <v>61</v>
      </c>
      <c r="E5" s="25" t="s">
        <v>62</v>
      </c>
      <c r="F5" s="25" t="s">
        <v>62</v>
      </c>
      <c r="H5" s="15">
        <v>32874</v>
      </c>
      <c r="I5" s="20">
        <f t="shared" ref="I5:I17" ca="1" si="2">(TODAY()-H5)/365</f>
        <v>36.238356164383561</v>
      </c>
      <c r="X5" s="15">
        <v>44927</v>
      </c>
      <c r="Y5" s="19"/>
      <c r="AB5" t="str">
        <f t="shared" ref="AB5:AB17" ca="1" si="3">DATEDIF(X5,TODAY(),"y")&amp;"Tahun"&amp; DATEDIF(X5,TODAY(),"YM")&amp;"Bulan" &amp; DATEDIF(X5,TODAY(),"MD")&amp;"Hari"</f>
        <v>3Tahun2Bulan19Hari</v>
      </c>
      <c r="AF5" s="14" t="s">
        <v>63</v>
      </c>
    </row>
    <row r="6" spans="1:47">
      <c r="A6" s="26" t="s">
        <v>57</v>
      </c>
      <c r="B6" s="26" t="s">
        <v>57</v>
      </c>
      <c r="C6" s="26" t="s">
        <v>57</v>
      </c>
      <c r="D6" s="13" t="s">
        <v>64</v>
      </c>
      <c r="E6" s="14" t="s">
        <v>65</v>
      </c>
      <c r="F6" s="14" t="s">
        <v>65</v>
      </c>
      <c r="H6" s="15">
        <v>32874</v>
      </c>
      <c r="I6" s="20">
        <f t="shared" ca="1" si="2"/>
        <v>36.238356164383561</v>
      </c>
      <c r="X6" s="15">
        <v>44927</v>
      </c>
      <c r="Y6" s="19"/>
      <c r="AB6" t="str">
        <f t="shared" ca="1" si="3"/>
        <v>3Tahun2Bulan19Hari</v>
      </c>
      <c r="AF6" s="14" t="s">
        <v>66</v>
      </c>
    </row>
    <row r="7" spans="1:47">
      <c r="A7" s="26" t="s">
        <v>57</v>
      </c>
      <c r="B7" s="26" t="s">
        <v>57</v>
      </c>
      <c r="C7" s="26" t="s">
        <v>57</v>
      </c>
      <c r="D7" s="13" t="s">
        <v>67</v>
      </c>
      <c r="E7" s="25" t="s">
        <v>68</v>
      </c>
      <c r="F7" s="25" t="s">
        <v>68</v>
      </c>
      <c r="H7" s="15">
        <v>32874</v>
      </c>
      <c r="I7" s="20">
        <f t="shared" ca="1" si="2"/>
        <v>36.238356164383561</v>
      </c>
      <c r="X7" s="15">
        <v>44927</v>
      </c>
      <c r="Y7" s="19"/>
      <c r="AB7" t="str">
        <f t="shared" ca="1" si="3"/>
        <v>3Tahun2Bulan19Hari</v>
      </c>
      <c r="AF7" s="14" t="s">
        <v>69</v>
      </c>
    </row>
    <row r="8" spans="1:47">
      <c r="A8" s="26" t="s">
        <v>57</v>
      </c>
      <c r="B8" s="26" t="s">
        <v>57</v>
      </c>
      <c r="C8" s="26" t="s">
        <v>57</v>
      </c>
      <c r="D8" s="13" t="s">
        <v>70</v>
      </c>
      <c r="E8" s="14" t="s">
        <v>71</v>
      </c>
      <c r="F8" s="14" t="s">
        <v>71</v>
      </c>
      <c r="H8" s="15">
        <v>32874</v>
      </c>
      <c r="I8" s="20">
        <f t="shared" ca="1" si="2"/>
        <v>36.238356164383561</v>
      </c>
      <c r="X8" s="15">
        <v>44927</v>
      </c>
      <c r="Y8" s="19"/>
      <c r="AB8" t="str">
        <f t="shared" ca="1" si="3"/>
        <v>3Tahun2Bulan19Hari</v>
      </c>
      <c r="AF8" s="14" t="s">
        <v>72</v>
      </c>
    </row>
    <row r="9" spans="1:47" ht="28.9">
      <c r="A9" s="26" t="s">
        <v>57</v>
      </c>
      <c r="B9" s="26" t="s">
        <v>57</v>
      </c>
      <c r="C9" s="26" t="s">
        <v>57</v>
      </c>
      <c r="D9" s="13" t="s">
        <v>73</v>
      </c>
      <c r="E9" s="25" t="s">
        <v>74</v>
      </c>
      <c r="F9" s="25" t="s">
        <v>74</v>
      </c>
      <c r="H9" s="15">
        <v>32874</v>
      </c>
      <c r="I9" s="20">
        <f t="shared" ca="1" si="2"/>
        <v>36.238356164383561</v>
      </c>
      <c r="X9" s="15">
        <v>44927</v>
      </c>
      <c r="Y9" s="19"/>
      <c r="AB9" t="str">
        <f t="shared" ca="1" si="3"/>
        <v>3Tahun2Bulan19Hari</v>
      </c>
      <c r="AF9" s="14" t="s">
        <v>75</v>
      </c>
    </row>
    <row r="10" spans="1:47">
      <c r="A10" s="26" t="s">
        <v>57</v>
      </c>
      <c r="B10" s="26" t="s">
        <v>57</v>
      </c>
      <c r="C10" s="26" t="s">
        <v>57</v>
      </c>
      <c r="D10" s="13" t="s">
        <v>76</v>
      </c>
      <c r="E10" s="14" t="s">
        <v>77</v>
      </c>
      <c r="F10" s="14" t="s">
        <v>77</v>
      </c>
      <c r="H10" s="15">
        <v>32874</v>
      </c>
      <c r="I10" s="20">
        <f t="shared" ca="1" si="2"/>
        <v>36.238356164383561</v>
      </c>
      <c r="X10" s="15">
        <v>44927</v>
      </c>
      <c r="Y10" s="19"/>
      <c r="AB10" t="str">
        <f t="shared" ca="1" si="3"/>
        <v>3Tahun2Bulan19Hari</v>
      </c>
      <c r="AF10" s="14" t="s">
        <v>78</v>
      </c>
    </row>
    <row r="11" spans="1:47">
      <c r="A11" s="26" t="s">
        <v>57</v>
      </c>
      <c r="B11" s="26" t="s">
        <v>57</v>
      </c>
      <c r="C11" s="26" t="s">
        <v>57</v>
      </c>
      <c r="D11" s="13" t="s">
        <v>79</v>
      </c>
      <c r="E11" s="25" t="s">
        <v>80</v>
      </c>
      <c r="F11" s="25" t="s">
        <v>80</v>
      </c>
      <c r="H11" s="15">
        <v>32874</v>
      </c>
      <c r="I11" s="20">
        <f t="shared" ca="1" si="2"/>
        <v>36.238356164383561</v>
      </c>
      <c r="X11" s="15">
        <v>44927</v>
      </c>
      <c r="Y11" s="19"/>
      <c r="AB11" t="str">
        <f t="shared" ca="1" si="3"/>
        <v>3Tahun2Bulan19Hari</v>
      </c>
      <c r="AF11" s="14" t="s">
        <v>81</v>
      </c>
    </row>
    <row r="12" spans="1:47">
      <c r="A12" s="26" t="s">
        <v>57</v>
      </c>
      <c r="B12" s="26" t="s">
        <v>57</v>
      </c>
      <c r="C12" s="26" t="s">
        <v>57</v>
      </c>
      <c r="D12" s="13" t="s">
        <v>82</v>
      </c>
      <c r="E12" s="14" t="s">
        <v>83</v>
      </c>
      <c r="F12" s="14" t="s">
        <v>83</v>
      </c>
      <c r="H12" s="15">
        <v>32874</v>
      </c>
      <c r="I12" s="20">
        <f t="shared" ca="1" si="2"/>
        <v>36.238356164383561</v>
      </c>
      <c r="X12" s="15">
        <v>44927</v>
      </c>
      <c r="Y12" s="19"/>
      <c r="AB12" t="str">
        <f t="shared" ca="1" si="3"/>
        <v>3Tahun2Bulan19Hari</v>
      </c>
      <c r="AF12" s="14" t="s">
        <v>84</v>
      </c>
    </row>
    <row r="13" spans="1:47">
      <c r="A13" s="26" t="s">
        <v>57</v>
      </c>
      <c r="B13" s="26" t="s">
        <v>57</v>
      </c>
      <c r="C13" s="26" t="s">
        <v>57</v>
      </c>
      <c r="D13" s="13" t="s">
        <v>85</v>
      </c>
      <c r="E13" s="25" t="s">
        <v>86</v>
      </c>
      <c r="F13" s="25" t="s">
        <v>86</v>
      </c>
      <c r="H13" s="15">
        <v>32874</v>
      </c>
      <c r="I13" s="20">
        <f t="shared" ca="1" si="2"/>
        <v>36.238356164383561</v>
      </c>
      <c r="X13" s="15">
        <v>44927</v>
      </c>
      <c r="Y13" s="19"/>
      <c r="AB13" t="str">
        <f t="shared" ca="1" si="3"/>
        <v>3Tahun2Bulan19Hari</v>
      </c>
      <c r="AF13" s="14" t="s">
        <v>87</v>
      </c>
    </row>
    <row r="14" spans="1:47">
      <c r="A14" s="26" t="s">
        <v>57</v>
      </c>
      <c r="B14" s="26" t="s">
        <v>57</v>
      </c>
      <c r="C14" s="26" t="s">
        <v>57</v>
      </c>
      <c r="D14" s="13" t="s">
        <v>88</v>
      </c>
      <c r="E14" s="14" t="s">
        <v>89</v>
      </c>
      <c r="F14" s="14" t="s">
        <v>89</v>
      </c>
      <c r="H14" s="15">
        <v>32874</v>
      </c>
      <c r="I14" s="20">
        <f t="shared" ca="1" si="2"/>
        <v>36.238356164383561</v>
      </c>
      <c r="X14" s="15">
        <v>44927</v>
      </c>
      <c r="Y14" s="19"/>
      <c r="AB14" t="str">
        <f t="shared" ca="1" si="3"/>
        <v>3Tahun2Bulan19Hari</v>
      </c>
      <c r="AF14" s="14" t="s">
        <v>90</v>
      </c>
    </row>
    <row r="15" spans="1:47">
      <c r="A15" s="26" t="s">
        <v>57</v>
      </c>
      <c r="B15" s="26" t="s">
        <v>57</v>
      </c>
      <c r="C15" s="26" t="s">
        <v>57</v>
      </c>
      <c r="D15" s="13" t="s">
        <v>91</v>
      </c>
      <c r="E15" s="25" t="s">
        <v>92</v>
      </c>
      <c r="F15" s="25" t="s">
        <v>92</v>
      </c>
      <c r="H15" s="15">
        <v>32874</v>
      </c>
      <c r="I15" s="20">
        <f t="shared" ca="1" si="2"/>
        <v>36.238356164383561</v>
      </c>
      <c r="X15" s="15">
        <v>44927</v>
      </c>
      <c r="Y15" s="19"/>
      <c r="AB15" t="str">
        <f t="shared" ca="1" si="3"/>
        <v>3Tahun2Bulan19Hari</v>
      </c>
      <c r="AF15" s="14" t="s">
        <v>93</v>
      </c>
    </row>
    <row r="16" spans="1:47" ht="28.9">
      <c r="A16" s="26" t="s">
        <v>57</v>
      </c>
      <c r="B16" s="26" t="s">
        <v>57</v>
      </c>
      <c r="C16" s="26" t="s">
        <v>57</v>
      </c>
      <c r="D16" s="13" t="s">
        <v>94</v>
      </c>
      <c r="E16" s="14" t="s">
        <v>95</v>
      </c>
      <c r="F16" s="14" t="s">
        <v>95</v>
      </c>
      <c r="H16" s="15">
        <v>32874</v>
      </c>
      <c r="I16" s="20">
        <f t="shared" ca="1" si="2"/>
        <v>36.238356164383561</v>
      </c>
      <c r="X16" s="15">
        <v>44927</v>
      </c>
      <c r="Y16" s="19"/>
      <c r="AB16" t="str">
        <f t="shared" ca="1" si="3"/>
        <v>3Tahun2Bulan19Hari</v>
      </c>
      <c r="AF16" s="14" t="s">
        <v>96</v>
      </c>
    </row>
    <row r="17" spans="1:32" ht="28.9">
      <c r="A17" s="26" t="s">
        <v>57</v>
      </c>
      <c r="B17" s="26" t="s">
        <v>57</v>
      </c>
      <c r="C17" s="26" t="s">
        <v>57</v>
      </c>
      <c r="D17" s="13" t="s">
        <v>97</v>
      </c>
      <c r="E17" s="25" t="s">
        <v>98</v>
      </c>
      <c r="F17" s="25" t="s">
        <v>98</v>
      </c>
      <c r="H17" s="15">
        <v>32874</v>
      </c>
      <c r="I17" s="20">
        <f t="shared" ca="1" si="2"/>
        <v>36.238356164383561</v>
      </c>
      <c r="X17" s="15">
        <v>44927</v>
      </c>
      <c r="Y17" s="19"/>
      <c r="AB17" t="str">
        <f t="shared" ca="1" si="3"/>
        <v>3Tahun2Bulan19Hari</v>
      </c>
      <c r="AF17" s="14" t="s">
        <v>99</v>
      </c>
    </row>
    <row r="18" spans="1:32">
      <c r="A18" s="26" t="s">
        <v>57</v>
      </c>
      <c r="B18" s="26" t="s">
        <v>57</v>
      </c>
      <c r="C18" s="26" t="s">
        <v>57</v>
      </c>
      <c r="D18" s="13" t="s">
        <v>97</v>
      </c>
      <c r="E18" s="25" t="s">
        <v>98</v>
      </c>
      <c r="F18" s="14" t="s">
        <v>98</v>
      </c>
      <c r="H18" s="15">
        <v>32874</v>
      </c>
      <c r="I18" s="20">
        <f t="shared" ref="I18" ca="1" si="4">(TODAY()-H18)/365</f>
        <v>36.238356164383561</v>
      </c>
      <c r="X18" s="15">
        <v>44927</v>
      </c>
      <c r="Y18" s="19"/>
      <c r="AB18" t="str">
        <f t="shared" ref="AB18" ca="1" si="5">DATEDIF(X18,TODAY(),"y")&amp;"Tahun"&amp; DATEDIF(X18,TODAY(),"YM")&amp;"Bulan" &amp; DATEDIF(X18,TODAY(),"MD")&amp;"Hari"</f>
        <v>3Tahun2Bulan19Hari</v>
      </c>
      <c r="AF18" s="14" t="s">
        <v>93</v>
      </c>
    </row>
  </sheetData>
  <mergeCells count="1">
    <mergeCell ref="C1:D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5F233A89D10489A63A5C0995E4C93" ma:contentTypeVersion="13" ma:contentTypeDescription="Create a new document." ma:contentTypeScope="" ma:versionID="cea590f80e9e62d5947e64c8f1a61cb5">
  <xsd:schema xmlns:xsd="http://www.w3.org/2001/XMLSchema" xmlns:xs="http://www.w3.org/2001/XMLSchema" xmlns:p="http://schemas.microsoft.com/office/2006/metadata/properties" xmlns:ns2="0b878551-6eef-49a4-a409-0cbd8a1e6dc2" xmlns:ns3="48b3f5a2-2bd0-47d7-88a1-ba96d283619f" targetNamespace="http://schemas.microsoft.com/office/2006/metadata/properties" ma:root="true" ma:fieldsID="f8f719910e4217893b9e69d720d2737c" ns2:_="" ns3:_="">
    <xsd:import namespace="0b878551-6eef-49a4-a409-0cbd8a1e6dc2"/>
    <xsd:import namespace="48b3f5a2-2bd0-47d7-88a1-ba96d28361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78551-6eef-49a4-a409-0cbd8a1e6d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3f5a2-2bd0-47d7-88a1-ba96d28361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3ab26b-54fd-4a1d-9640-6a52c4fd192e}" ma:internalName="TaxCatchAll" ma:showField="CatchAllData" ma:web="48b3f5a2-2bd0-47d7-88a1-ba96d28361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3f5a2-2bd0-47d7-88a1-ba96d283619f" xsi:nil="true"/>
    <lcf76f155ced4ddcb4097134ff3c332f xmlns="0b878551-6eef-49a4-a409-0cbd8a1e6d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15C00F-54F0-487F-AABE-0B967358BEF0}"/>
</file>

<file path=customXml/itemProps2.xml><?xml version="1.0" encoding="utf-8"?>
<ds:datastoreItem xmlns:ds="http://schemas.openxmlformats.org/officeDocument/2006/customXml" ds:itemID="{12332461-F8CA-47DF-8DE7-24A2689F7257}"/>
</file>

<file path=customXml/itemProps3.xml><?xml version="1.0" encoding="utf-8"?>
<ds:datastoreItem xmlns:ds="http://schemas.openxmlformats.org/officeDocument/2006/customXml" ds:itemID="{1AA8E056-DC82-4357-A2A3-9489A3506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Indah Mutia Ayudita [MTI]</dc:creator>
  <cp:keywords/>
  <dc:description/>
  <cp:lastModifiedBy>Widji Santoso [MTI]</cp:lastModifiedBy>
  <cp:revision/>
  <dcterms:created xsi:type="dcterms:W3CDTF">2025-06-28T08:35:12Z</dcterms:created>
  <dcterms:modified xsi:type="dcterms:W3CDTF">2026-03-20T14:40:11Z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0x010100C8F5F233A89D10489A63A5C0995E4C93</vt:lpwstr>
  </property>
  <property fmtid="{D5CDD505-2E9C-101B-9397-08002B2CF9AE}" pid="3" name="MediaServiceImageTags">
    <vt:lpwstr/>
  </property>
</Properties>
</file>